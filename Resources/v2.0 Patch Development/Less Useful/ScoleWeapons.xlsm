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oaked\Desktop\"/>
    </mc:Choice>
  </mc:AlternateContent>
  <bookViews>
    <workbookView xWindow="0" yWindow="0" windowWidth="20490" windowHeight="9195" firstSheet="2" activeTab="2"/>
  </bookViews>
  <sheets>
    <sheet name="Ship-Weapon Mapping" sheetId="6" state="hidden" r:id="rId1"/>
    <sheet name="Public Ships" sheetId="8" state="hidden" r:id="rId2"/>
    <sheet name="Scole Weapons" sheetId="14" r:id="rId3"/>
    <sheet name="Weapons" sheetId="3" r:id="rId4"/>
  </sheets>
  <functionGroups builtInGroupCount="18"/>
  <definedNames>
    <definedName name="_xlnm._FilterDatabase" localSheetId="1" hidden="1">'Public Ships'!$A$1:$H$1</definedName>
    <definedName name="_xlnm._FilterDatabase" localSheetId="2" hidden="1">'Scole Weapons'!$A$1:$CA$150</definedName>
    <definedName name="_xlnm._FilterDatabase" localSheetId="3" hidden="1">Weapons!$A$1:$BM$291</definedName>
  </definedNames>
  <calcPr calcId="152511"/>
</workbook>
</file>

<file path=xl/calcChain.xml><?xml version="1.0" encoding="utf-8"?>
<calcChain xmlns="http://schemas.openxmlformats.org/spreadsheetml/2006/main">
  <c r="AZ150" i="14" l="1"/>
  <c r="AY150" i="14"/>
  <c r="AZ149" i="14"/>
  <c r="AY149" i="14"/>
  <c r="AZ148" i="14"/>
  <c r="AY148" i="14"/>
  <c r="AZ147" i="14"/>
  <c r="AY147" i="14"/>
  <c r="AZ146" i="14"/>
  <c r="AY146" i="14"/>
  <c r="AZ145" i="14"/>
  <c r="AY145" i="14"/>
  <c r="AZ144" i="14"/>
  <c r="AY144" i="14"/>
  <c r="AZ143" i="14"/>
  <c r="AY143" i="14"/>
  <c r="AZ142" i="14"/>
  <c r="AY142" i="14"/>
  <c r="AZ141" i="14"/>
  <c r="AY141" i="14"/>
  <c r="AZ140" i="14"/>
  <c r="AY140" i="14"/>
  <c r="AZ139" i="14"/>
  <c r="AY139" i="14"/>
  <c r="AZ138" i="14"/>
  <c r="AY138" i="14"/>
  <c r="AZ137" i="14"/>
  <c r="AY137" i="14"/>
  <c r="AZ136" i="14"/>
  <c r="AY136" i="14"/>
  <c r="AZ135" i="14"/>
  <c r="AY135" i="14"/>
  <c r="AZ134" i="14"/>
  <c r="AY134" i="14"/>
  <c r="AZ133" i="14"/>
  <c r="AY133" i="14"/>
  <c r="BA133" i="14" s="1"/>
  <c r="AZ132" i="14"/>
  <c r="AY132" i="14"/>
  <c r="AZ131" i="14"/>
  <c r="AY131" i="14"/>
  <c r="AZ130" i="14"/>
  <c r="AY130" i="14"/>
  <c r="AZ129" i="14"/>
  <c r="AY129" i="14"/>
  <c r="AZ128" i="14"/>
  <c r="AY128" i="14"/>
  <c r="AZ127" i="14"/>
  <c r="AY127" i="14"/>
  <c r="AZ126" i="14"/>
  <c r="AY126" i="14"/>
  <c r="AZ125" i="14"/>
  <c r="AY125" i="14"/>
  <c r="AZ124" i="14"/>
  <c r="AY124" i="14"/>
  <c r="AZ123" i="14"/>
  <c r="AY123" i="14"/>
  <c r="AZ122" i="14"/>
  <c r="AY122" i="14"/>
  <c r="AZ121" i="14"/>
  <c r="AY121" i="14"/>
  <c r="AZ120" i="14"/>
  <c r="AY120" i="14"/>
  <c r="AZ119" i="14"/>
  <c r="AY119" i="14"/>
  <c r="AZ118" i="14"/>
  <c r="AY118" i="14"/>
  <c r="AZ117" i="14"/>
  <c r="AY117" i="14"/>
  <c r="AZ116" i="14"/>
  <c r="AY116" i="14"/>
  <c r="AZ115" i="14"/>
  <c r="AY115" i="14"/>
  <c r="AZ114" i="14"/>
  <c r="AY114" i="14"/>
  <c r="AZ113" i="14"/>
  <c r="AY113" i="14"/>
  <c r="AZ112" i="14"/>
  <c r="AY112" i="14"/>
  <c r="AZ111" i="14"/>
  <c r="AY111" i="14"/>
  <c r="AZ110" i="14"/>
  <c r="AY110" i="14"/>
  <c r="AZ109" i="14"/>
  <c r="AY109" i="14"/>
  <c r="AZ108" i="14"/>
  <c r="AY108" i="14"/>
  <c r="AZ107" i="14"/>
  <c r="AY107" i="14"/>
  <c r="AZ106" i="14"/>
  <c r="AY106" i="14"/>
  <c r="AZ105" i="14"/>
  <c r="AY105" i="14"/>
  <c r="AZ104" i="14"/>
  <c r="AY104" i="14"/>
  <c r="AZ103" i="14"/>
  <c r="AY103" i="14"/>
  <c r="AZ102" i="14"/>
  <c r="AY102" i="14"/>
  <c r="AZ101" i="14"/>
  <c r="AY101" i="14"/>
  <c r="AZ100" i="14"/>
  <c r="AY100" i="14"/>
  <c r="AZ99" i="14"/>
  <c r="AY99" i="14"/>
  <c r="AZ98" i="14"/>
  <c r="AY98" i="14"/>
  <c r="AZ97" i="14"/>
  <c r="AY97" i="14"/>
  <c r="AZ96" i="14"/>
  <c r="AY96" i="14"/>
  <c r="AZ95" i="14"/>
  <c r="AY95" i="14"/>
  <c r="AZ94" i="14"/>
  <c r="AY94" i="14"/>
  <c r="AZ93" i="14"/>
  <c r="AY93" i="14"/>
  <c r="AZ92" i="14"/>
  <c r="AY92" i="14"/>
  <c r="AZ91" i="14"/>
  <c r="AY91" i="14"/>
  <c r="AZ90" i="14"/>
  <c r="AY90" i="14"/>
  <c r="AZ89" i="14"/>
  <c r="AY89" i="14"/>
  <c r="AZ88" i="14"/>
  <c r="AY88" i="14"/>
  <c r="AZ87" i="14"/>
  <c r="AY87" i="14"/>
  <c r="AZ86" i="14"/>
  <c r="AY86" i="14"/>
  <c r="AZ85" i="14"/>
  <c r="AY85" i="14"/>
  <c r="AZ84" i="14"/>
  <c r="AY84" i="14"/>
  <c r="AZ83" i="14"/>
  <c r="AY83" i="14"/>
  <c r="AZ82" i="14"/>
  <c r="AY82" i="14"/>
  <c r="AZ81" i="14"/>
  <c r="AY81" i="14"/>
  <c r="AZ80" i="14"/>
  <c r="AY80" i="14"/>
  <c r="AZ79" i="14"/>
  <c r="AY79" i="14"/>
  <c r="AZ78" i="14"/>
  <c r="AY78" i="14"/>
  <c r="AZ77" i="14"/>
  <c r="AY77" i="14"/>
  <c r="AZ76" i="14"/>
  <c r="AY76" i="14"/>
  <c r="AZ75" i="14"/>
  <c r="AY75" i="14"/>
  <c r="AZ74" i="14"/>
  <c r="AY74" i="14"/>
  <c r="AZ73" i="14"/>
  <c r="AY73" i="14"/>
  <c r="AZ72" i="14"/>
  <c r="AY72" i="14"/>
  <c r="AZ71" i="14"/>
  <c r="AY71" i="14"/>
  <c r="AZ70" i="14"/>
  <c r="AY70" i="14"/>
  <c r="AZ69" i="14"/>
  <c r="AY69" i="14"/>
  <c r="AZ68" i="14"/>
  <c r="AY68" i="14"/>
  <c r="AZ67" i="14"/>
  <c r="AY67" i="14"/>
  <c r="AZ66" i="14"/>
  <c r="AY66" i="14"/>
  <c r="AZ65" i="14"/>
  <c r="AY65" i="14"/>
  <c r="AZ64" i="14"/>
  <c r="AY64" i="14"/>
  <c r="AZ63" i="14"/>
  <c r="AY63" i="14"/>
  <c r="AZ62" i="14"/>
  <c r="AY62" i="14"/>
  <c r="AZ61" i="14"/>
  <c r="AY61" i="14"/>
  <c r="AZ60" i="14"/>
  <c r="AY60" i="14"/>
  <c r="AZ59" i="14"/>
  <c r="AY59" i="14"/>
  <c r="AZ58" i="14"/>
  <c r="AY58" i="14"/>
  <c r="AZ57" i="14"/>
  <c r="AY57" i="14"/>
  <c r="AZ56" i="14"/>
  <c r="AY56" i="14"/>
  <c r="AZ55" i="14"/>
  <c r="AY55" i="14"/>
  <c r="AZ54" i="14"/>
  <c r="AY54" i="14"/>
  <c r="AZ53" i="14"/>
  <c r="AY53" i="14"/>
  <c r="AZ52" i="14"/>
  <c r="AY52" i="14"/>
  <c r="AZ51" i="14"/>
  <c r="AY51" i="14"/>
  <c r="AZ50" i="14"/>
  <c r="AY50" i="14"/>
  <c r="AZ49" i="14"/>
  <c r="AY49" i="14"/>
  <c r="AZ48" i="14"/>
  <c r="AY48" i="14"/>
  <c r="AZ47" i="14"/>
  <c r="AY47" i="14"/>
  <c r="AZ46" i="14"/>
  <c r="AY46" i="14"/>
  <c r="AZ45" i="14"/>
  <c r="AY45" i="14"/>
  <c r="AZ44" i="14"/>
  <c r="AY44" i="14"/>
  <c r="AZ43" i="14"/>
  <c r="AY43" i="14"/>
  <c r="AZ42" i="14"/>
  <c r="AY42" i="14"/>
  <c r="AZ41" i="14"/>
  <c r="AY41" i="14"/>
  <c r="AZ40" i="14"/>
  <c r="AY40" i="14"/>
  <c r="AZ39" i="14"/>
  <c r="AY39" i="14"/>
  <c r="AZ38" i="14"/>
  <c r="AY38" i="14"/>
  <c r="AZ37" i="14"/>
  <c r="AY37" i="14"/>
  <c r="AZ36" i="14"/>
  <c r="AY36" i="14"/>
  <c r="AZ35" i="14"/>
  <c r="AY35" i="14"/>
  <c r="AZ34" i="14"/>
  <c r="AY34" i="14"/>
  <c r="AZ33" i="14"/>
  <c r="AY33" i="14"/>
  <c r="AZ32" i="14"/>
  <c r="AY32" i="14"/>
  <c r="AZ31" i="14"/>
  <c r="AY31" i="14"/>
  <c r="AZ30" i="14"/>
  <c r="AY30" i="14"/>
  <c r="AZ29" i="14"/>
  <c r="AY29" i="14"/>
  <c r="AZ28" i="14"/>
  <c r="AY28" i="14"/>
  <c r="AZ27" i="14"/>
  <c r="AY27" i="14"/>
  <c r="AZ26" i="14"/>
  <c r="AY26" i="14"/>
  <c r="AZ25" i="14"/>
  <c r="AY25" i="14"/>
  <c r="BA25" i="14" s="1"/>
  <c r="AZ24" i="14"/>
  <c r="AY24" i="14"/>
  <c r="AZ23" i="14"/>
  <c r="AY23" i="14"/>
  <c r="AZ22" i="14"/>
  <c r="AY22" i="14"/>
  <c r="AZ21" i="14"/>
  <c r="AY21" i="14"/>
  <c r="AZ20" i="14"/>
  <c r="AY20" i="14"/>
  <c r="AZ19" i="14"/>
  <c r="AY19" i="14"/>
  <c r="AZ18" i="14"/>
  <c r="AY18" i="14"/>
  <c r="AZ17" i="14"/>
  <c r="AY17" i="14"/>
  <c r="AZ16" i="14"/>
  <c r="AY16" i="14"/>
  <c r="AZ15" i="14"/>
  <c r="AY15" i="14"/>
  <c r="AZ14" i="14"/>
  <c r="AY14" i="14"/>
  <c r="AZ13" i="14"/>
  <c r="AY13" i="14"/>
  <c r="AZ12" i="14"/>
  <c r="AY12" i="14"/>
  <c r="AZ11" i="14"/>
  <c r="AY11" i="14"/>
  <c r="AZ10" i="14"/>
  <c r="AY10" i="14"/>
  <c r="AZ9" i="14"/>
  <c r="AY9" i="14"/>
  <c r="BA9" i="14" s="1"/>
  <c r="AZ8" i="14"/>
  <c r="AY8" i="14"/>
  <c r="AZ7" i="14"/>
  <c r="AY7" i="14"/>
  <c r="BA7" i="14" s="1"/>
  <c r="AZ6" i="14"/>
  <c r="AY6" i="14"/>
  <c r="AZ5" i="14"/>
  <c r="AY5" i="14"/>
  <c r="AZ4" i="14"/>
  <c r="AY4" i="14"/>
  <c r="AZ3" i="14"/>
  <c r="AY3" i="14"/>
  <c r="AZ2" i="14"/>
  <c r="AY2" i="14"/>
  <c r="AU150" i="14"/>
  <c r="AT150" i="14"/>
  <c r="AV150" i="14" s="1"/>
  <c r="AU149" i="14"/>
  <c r="AT149" i="14"/>
  <c r="AU148" i="14"/>
  <c r="AT148" i="14"/>
  <c r="AU147" i="14"/>
  <c r="AT147" i="14"/>
  <c r="AU146" i="14"/>
  <c r="AT146" i="14"/>
  <c r="AU145" i="14"/>
  <c r="AT145" i="14"/>
  <c r="AU144" i="14"/>
  <c r="AT144" i="14"/>
  <c r="AU143" i="14"/>
  <c r="AT143" i="14"/>
  <c r="AU142" i="14"/>
  <c r="AT142" i="14"/>
  <c r="AU141" i="14"/>
  <c r="AT141" i="14"/>
  <c r="AU140" i="14"/>
  <c r="AT140" i="14"/>
  <c r="AU139" i="14"/>
  <c r="AT139" i="14"/>
  <c r="AU138" i="14"/>
  <c r="AT138" i="14"/>
  <c r="AU137" i="14"/>
  <c r="AT137" i="14"/>
  <c r="AU136" i="14"/>
  <c r="AT136" i="14"/>
  <c r="AU135" i="14"/>
  <c r="AT135" i="14"/>
  <c r="AU134" i="14"/>
  <c r="AT134" i="14"/>
  <c r="AU133" i="14"/>
  <c r="AT133" i="14"/>
  <c r="AU132" i="14"/>
  <c r="AT132" i="14"/>
  <c r="AU131" i="14"/>
  <c r="AT131" i="14"/>
  <c r="AU130" i="14"/>
  <c r="AT130" i="14"/>
  <c r="AU129" i="14"/>
  <c r="AT129" i="14"/>
  <c r="AU128" i="14"/>
  <c r="AT128" i="14"/>
  <c r="AU127" i="14"/>
  <c r="AT127" i="14"/>
  <c r="AU126" i="14"/>
  <c r="AT126" i="14"/>
  <c r="AU125" i="14"/>
  <c r="AV125" i="14" s="1"/>
  <c r="AT125" i="14"/>
  <c r="AU124" i="14"/>
  <c r="AT124" i="14"/>
  <c r="AU123" i="14"/>
  <c r="AT123" i="14"/>
  <c r="AU122" i="14"/>
  <c r="AT122" i="14"/>
  <c r="AU121" i="14"/>
  <c r="AT121" i="14"/>
  <c r="AU120" i="14"/>
  <c r="AT120" i="14"/>
  <c r="AU119" i="14"/>
  <c r="AT119" i="14"/>
  <c r="AU118" i="14"/>
  <c r="AT118" i="14"/>
  <c r="AU117" i="14"/>
  <c r="AT117" i="14"/>
  <c r="AU116" i="14"/>
  <c r="AT116" i="14"/>
  <c r="AU115" i="14"/>
  <c r="AT115" i="14"/>
  <c r="AU114" i="14"/>
  <c r="AT114" i="14"/>
  <c r="AU113" i="14"/>
  <c r="AT113" i="14"/>
  <c r="AU112" i="14"/>
  <c r="AT112" i="14"/>
  <c r="AU111" i="14"/>
  <c r="AT111" i="14"/>
  <c r="AU110" i="14"/>
  <c r="AT110" i="14"/>
  <c r="AU109" i="14"/>
  <c r="AT109" i="14"/>
  <c r="AU108" i="14"/>
  <c r="AT108" i="14"/>
  <c r="AU107" i="14"/>
  <c r="AT107" i="14"/>
  <c r="AU106" i="14"/>
  <c r="AT106" i="14"/>
  <c r="AU105" i="14"/>
  <c r="AT105" i="14"/>
  <c r="AU104" i="14"/>
  <c r="AT104" i="14"/>
  <c r="AU103" i="14"/>
  <c r="AT103" i="14"/>
  <c r="AU102" i="14"/>
  <c r="AT102" i="14"/>
  <c r="AU101" i="14"/>
  <c r="AT101" i="14"/>
  <c r="AU100" i="14"/>
  <c r="AT100" i="14"/>
  <c r="AU99" i="14"/>
  <c r="AT99" i="14"/>
  <c r="AU98" i="14"/>
  <c r="AT98" i="14"/>
  <c r="AU97" i="14"/>
  <c r="AT97" i="14"/>
  <c r="AU96" i="14"/>
  <c r="AT96" i="14"/>
  <c r="AU95" i="14"/>
  <c r="AT95" i="14"/>
  <c r="AU94" i="14"/>
  <c r="AT94" i="14"/>
  <c r="AU93" i="14"/>
  <c r="AT93" i="14"/>
  <c r="AU92" i="14"/>
  <c r="AT92" i="14"/>
  <c r="AU91" i="14"/>
  <c r="AT91" i="14"/>
  <c r="AU90" i="14"/>
  <c r="AT90" i="14"/>
  <c r="AU89" i="14"/>
  <c r="AT89" i="14"/>
  <c r="AU88" i="14"/>
  <c r="AT88" i="14"/>
  <c r="AU87" i="14"/>
  <c r="AT87" i="14"/>
  <c r="AU86" i="14"/>
  <c r="AT86" i="14"/>
  <c r="AU85" i="14"/>
  <c r="AT85" i="14"/>
  <c r="AU84" i="14"/>
  <c r="AT84" i="14"/>
  <c r="AU83" i="14"/>
  <c r="AT83" i="14"/>
  <c r="AU82" i="14"/>
  <c r="AT82" i="14"/>
  <c r="AU81" i="14"/>
  <c r="AT81" i="14"/>
  <c r="AU80" i="14"/>
  <c r="AT80" i="14"/>
  <c r="AU79" i="14"/>
  <c r="AT79" i="14"/>
  <c r="AU78" i="14"/>
  <c r="AT78" i="14"/>
  <c r="AU77" i="14"/>
  <c r="AT77" i="14"/>
  <c r="AU76" i="14"/>
  <c r="AT76" i="14"/>
  <c r="AU75" i="14"/>
  <c r="AT75" i="14"/>
  <c r="AU74" i="14"/>
  <c r="AT74" i="14"/>
  <c r="AU73" i="14"/>
  <c r="AT73" i="14"/>
  <c r="AU72" i="14"/>
  <c r="AT72" i="14"/>
  <c r="AU71" i="14"/>
  <c r="AT71" i="14"/>
  <c r="AU70" i="14"/>
  <c r="AT70" i="14"/>
  <c r="AU69" i="14"/>
  <c r="AT69" i="14"/>
  <c r="AU68" i="14"/>
  <c r="AT68" i="14"/>
  <c r="AU67" i="14"/>
  <c r="AT67" i="14"/>
  <c r="AU66" i="14"/>
  <c r="AT66" i="14"/>
  <c r="AU65" i="14"/>
  <c r="AT65" i="14"/>
  <c r="AU64" i="14"/>
  <c r="AT64" i="14"/>
  <c r="AU63" i="14"/>
  <c r="AT63" i="14"/>
  <c r="AU62" i="14"/>
  <c r="AT62" i="14"/>
  <c r="AU61" i="14"/>
  <c r="AT61" i="14"/>
  <c r="AU60" i="14"/>
  <c r="AT60" i="14"/>
  <c r="AU59" i="14"/>
  <c r="AT59" i="14"/>
  <c r="AU58" i="14"/>
  <c r="AT58" i="14"/>
  <c r="AU57" i="14"/>
  <c r="AT57" i="14"/>
  <c r="AU56" i="14"/>
  <c r="AT56" i="14"/>
  <c r="AU55" i="14"/>
  <c r="AT55" i="14"/>
  <c r="AU54" i="14"/>
  <c r="AT54" i="14"/>
  <c r="AU53" i="14"/>
  <c r="AT53" i="14"/>
  <c r="AU52" i="14"/>
  <c r="AT52" i="14"/>
  <c r="AU51" i="14"/>
  <c r="AT51" i="14"/>
  <c r="AU50" i="14"/>
  <c r="AT50" i="14"/>
  <c r="AU49" i="14"/>
  <c r="AT49" i="14"/>
  <c r="AU48" i="14"/>
  <c r="AT48" i="14"/>
  <c r="AU47" i="14"/>
  <c r="AT47" i="14"/>
  <c r="AU46" i="14"/>
  <c r="AT46" i="14"/>
  <c r="AU45" i="14"/>
  <c r="AT45" i="14"/>
  <c r="AU44" i="14"/>
  <c r="AT44" i="14"/>
  <c r="AU43" i="14"/>
  <c r="AT43" i="14"/>
  <c r="AU42" i="14"/>
  <c r="AT42" i="14"/>
  <c r="AU41" i="14"/>
  <c r="AT41" i="14"/>
  <c r="AU40" i="14"/>
  <c r="AT40" i="14"/>
  <c r="AU39" i="14"/>
  <c r="AT39" i="14"/>
  <c r="AU38" i="14"/>
  <c r="AT38" i="14"/>
  <c r="AU37" i="14"/>
  <c r="AT37" i="14"/>
  <c r="AU36" i="14"/>
  <c r="AT36" i="14"/>
  <c r="AU35" i="14"/>
  <c r="AT35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V14" i="14" s="1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AU6" i="14"/>
  <c r="AT6" i="14"/>
  <c r="AU5" i="14"/>
  <c r="AT5" i="14"/>
  <c r="AU4" i="14"/>
  <c r="AT4" i="14"/>
  <c r="AV4" i="14" s="1"/>
  <c r="AU3" i="14"/>
  <c r="AT3" i="14"/>
  <c r="AU2" i="14"/>
  <c r="AT2" i="14"/>
  <c r="BQ150" i="14"/>
  <c r="BP150" i="14"/>
  <c r="BQ149" i="14"/>
  <c r="BP149" i="14"/>
  <c r="BQ148" i="14"/>
  <c r="BP148" i="14"/>
  <c r="BQ147" i="14"/>
  <c r="BP147" i="14"/>
  <c r="BQ146" i="14"/>
  <c r="BP146" i="14"/>
  <c r="BQ145" i="14"/>
  <c r="BP145" i="14"/>
  <c r="BQ144" i="14"/>
  <c r="BP144" i="14"/>
  <c r="BQ143" i="14"/>
  <c r="BP143" i="14"/>
  <c r="BQ142" i="14"/>
  <c r="BP142" i="14"/>
  <c r="BQ141" i="14"/>
  <c r="BP141" i="14"/>
  <c r="BQ140" i="14"/>
  <c r="BP140" i="14"/>
  <c r="BQ139" i="14"/>
  <c r="BP139" i="14"/>
  <c r="BQ138" i="14"/>
  <c r="BP138" i="14"/>
  <c r="BQ137" i="14"/>
  <c r="BP137" i="14"/>
  <c r="BQ136" i="14"/>
  <c r="BP136" i="14"/>
  <c r="BQ135" i="14"/>
  <c r="BP135" i="14"/>
  <c r="BQ134" i="14"/>
  <c r="BP134" i="14"/>
  <c r="BQ133" i="14"/>
  <c r="BP133" i="14"/>
  <c r="BQ132" i="14"/>
  <c r="BP132" i="14"/>
  <c r="BQ131" i="14"/>
  <c r="BP131" i="14"/>
  <c r="BQ130" i="14"/>
  <c r="BP130" i="14"/>
  <c r="BQ129" i="14"/>
  <c r="BP129" i="14"/>
  <c r="BQ128" i="14"/>
  <c r="BP128" i="14"/>
  <c r="BQ127" i="14"/>
  <c r="BP127" i="14"/>
  <c r="BQ126" i="14"/>
  <c r="BP126" i="14"/>
  <c r="BQ125" i="14"/>
  <c r="BP125" i="14"/>
  <c r="BQ124" i="14"/>
  <c r="BP124" i="14"/>
  <c r="BQ123" i="14"/>
  <c r="BP123" i="14"/>
  <c r="BQ122" i="14"/>
  <c r="BP122" i="14"/>
  <c r="BQ121" i="14"/>
  <c r="BP121" i="14"/>
  <c r="BQ120" i="14"/>
  <c r="BP120" i="14"/>
  <c r="BQ119" i="14"/>
  <c r="BP119" i="14"/>
  <c r="BQ118" i="14"/>
  <c r="BP118" i="14"/>
  <c r="BQ117" i="14"/>
  <c r="BP117" i="14"/>
  <c r="BQ116" i="14"/>
  <c r="BP116" i="14"/>
  <c r="BQ115" i="14"/>
  <c r="BP115" i="14"/>
  <c r="BQ114" i="14"/>
  <c r="BP114" i="14"/>
  <c r="BQ113" i="14"/>
  <c r="BP113" i="14"/>
  <c r="BQ112" i="14"/>
  <c r="BP112" i="14"/>
  <c r="BQ111" i="14"/>
  <c r="BP111" i="14"/>
  <c r="BQ110" i="14"/>
  <c r="BP110" i="14"/>
  <c r="BQ109" i="14"/>
  <c r="BP109" i="14"/>
  <c r="BQ108" i="14"/>
  <c r="BP108" i="14"/>
  <c r="BQ107" i="14"/>
  <c r="BP107" i="14"/>
  <c r="BQ106" i="14"/>
  <c r="BP106" i="14"/>
  <c r="BQ105" i="14"/>
  <c r="BP105" i="14"/>
  <c r="BQ104" i="14"/>
  <c r="BP104" i="14"/>
  <c r="BQ103" i="14"/>
  <c r="BP103" i="14"/>
  <c r="BQ102" i="14"/>
  <c r="BP102" i="14"/>
  <c r="BQ101" i="14"/>
  <c r="BP101" i="14"/>
  <c r="BQ100" i="14"/>
  <c r="BP100" i="14"/>
  <c r="BQ99" i="14"/>
  <c r="BP99" i="14"/>
  <c r="BQ98" i="14"/>
  <c r="BP98" i="14"/>
  <c r="BQ97" i="14"/>
  <c r="BP97" i="14"/>
  <c r="BQ96" i="14"/>
  <c r="BP96" i="14"/>
  <c r="BQ95" i="14"/>
  <c r="BP95" i="14"/>
  <c r="BQ94" i="14"/>
  <c r="BP94" i="14"/>
  <c r="BQ93" i="14"/>
  <c r="BP93" i="14"/>
  <c r="BQ92" i="14"/>
  <c r="BP92" i="14"/>
  <c r="BQ91" i="14"/>
  <c r="BP91" i="14"/>
  <c r="BQ90" i="14"/>
  <c r="BP90" i="14"/>
  <c r="BQ89" i="14"/>
  <c r="BP89" i="14"/>
  <c r="BQ88" i="14"/>
  <c r="BP88" i="14"/>
  <c r="BQ87" i="14"/>
  <c r="BP87" i="14"/>
  <c r="BQ86" i="14"/>
  <c r="BP86" i="14"/>
  <c r="BQ85" i="14"/>
  <c r="BP85" i="14"/>
  <c r="BQ84" i="14"/>
  <c r="BP84" i="14"/>
  <c r="BQ83" i="14"/>
  <c r="BP83" i="14"/>
  <c r="BQ82" i="14"/>
  <c r="BP82" i="14"/>
  <c r="BQ81" i="14"/>
  <c r="BP81" i="14"/>
  <c r="BQ80" i="14"/>
  <c r="BP80" i="14"/>
  <c r="BQ79" i="14"/>
  <c r="BP79" i="14"/>
  <c r="BQ78" i="14"/>
  <c r="BP78" i="14"/>
  <c r="BQ77" i="14"/>
  <c r="BP77" i="14"/>
  <c r="BQ76" i="14"/>
  <c r="BP76" i="14"/>
  <c r="BQ75" i="14"/>
  <c r="BP75" i="14"/>
  <c r="BQ74" i="14"/>
  <c r="BP74" i="14"/>
  <c r="BQ73" i="14"/>
  <c r="BP73" i="14"/>
  <c r="BR73" i="14" s="1"/>
  <c r="BQ72" i="14"/>
  <c r="BP72" i="14"/>
  <c r="BQ71" i="14"/>
  <c r="BP71" i="14"/>
  <c r="BQ70" i="14"/>
  <c r="BP70" i="14"/>
  <c r="BQ69" i="14"/>
  <c r="BP69" i="14"/>
  <c r="BQ68" i="14"/>
  <c r="BP68" i="14"/>
  <c r="BQ67" i="14"/>
  <c r="BP67" i="14"/>
  <c r="BQ66" i="14"/>
  <c r="BP66" i="14"/>
  <c r="BQ65" i="14"/>
  <c r="BP65" i="14"/>
  <c r="BQ64" i="14"/>
  <c r="BP64" i="14"/>
  <c r="BQ63" i="14"/>
  <c r="BP63" i="14"/>
  <c r="BQ62" i="14"/>
  <c r="BP62" i="14"/>
  <c r="BQ61" i="14"/>
  <c r="BP61" i="14"/>
  <c r="BQ60" i="14"/>
  <c r="BP60" i="14"/>
  <c r="BQ59" i="14"/>
  <c r="BP59" i="14"/>
  <c r="BQ58" i="14"/>
  <c r="BP58" i="14"/>
  <c r="BQ57" i="14"/>
  <c r="BP57" i="14"/>
  <c r="BQ56" i="14"/>
  <c r="BP56" i="14"/>
  <c r="BQ55" i="14"/>
  <c r="BP55" i="14"/>
  <c r="BQ54" i="14"/>
  <c r="BP54" i="14"/>
  <c r="BQ53" i="14"/>
  <c r="BP53" i="14"/>
  <c r="BQ52" i="14"/>
  <c r="BP52" i="14"/>
  <c r="BQ51" i="14"/>
  <c r="BP51" i="14"/>
  <c r="BQ50" i="14"/>
  <c r="BP50" i="14"/>
  <c r="BQ49" i="14"/>
  <c r="BP49" i="14"/>
  <c r="BQ48" i="14"/>
  <c r="BP48" i="14"/>
  <c r="BQ47" i="14"/>
  <c r="BP47" i="14"/>
  <c r="BQ46" i="14"/>
  <c r="BP46" i="14"/>
  <c r="BQ45" i="14"/>
  <c r="BP45" i="14"/>
  <c r="BQ44" i="14"/>
  <c r="BP44" i="14"/>
  <c r="BQ43" i="14"/>
  <c r="BP43" i="14"/>
  <c r="BQ42" i="14"/>
  <c r="BP42" i="14"/>
  <c r="BQ41" i="14"/>
  <c r="BP41" i="14"/>
  <c r="BQ40" i="14"/>
  <c r="BP40" i="14"/>
  <c r="BQ39" i="14"/>
  <c r="BP39" i="14"/>
  <c r="BQ38" i="14"/>
  <c r="BP38" i="14"/>
  <c r="BQ37" i="14"/>
  <c r="BP37" i="14"/>
  <c r="BQ36" i="14"/>
  <c r="BP36" i="14"/>
  <c r="BQ35" i="14"/>
  <c r="BP35" i="14"/>
  <c r="BQ34" i="14"/>
  <c r="BP34" i="14"/>
  <c r="BQ33" i="14"/>
  <c r="BP33" i="14"/>
  <c r="BQ32" i="14"/>
  <c r="BP32" i="14"/>
  <c r="BQ31" i="14"/>
  <c r="BP31" i="14"/>
  <c r="BQ30" i="14"/>
  <c r="BP30" i="14"/>
  <c r="BQ29" i="14"/>
  <c r="BP29" i="14"/>
  <c r="BQ28" i="14"/>
  <c r="BP28" i="14"/>
  <c r="BQ27" i="14"/>
  <c r="BP27" i="14"/>
  <c r="BQ26" i="14"/>
  <c r="BP26" i="14"/>
  <c r="BQ25" i="14"/>
  <c r="BP25" i="14"/>
  <c r="BQ24" i="14"/>
  <c r="BP24" i="14"/>
  <c r="BQ23" i="14"/>
  <c r="BP23" i="14"/>
  <c r="BQ22" i="14"/>
  <c r="BP22" i="14"/>
  <c r="BQ21" i="14"/>
  <c r="BP21" i="14"/>
  <c r="BQ20" i="14"/>
  <c r="BP20" i="14"/>
  <c r="BQ19" i="14"/>
  <c r="BP19" i="14"/>
  <c r="BQ18" i="14"/>
  <c r="BP18" i="14"/>
  <c r="BQ17" i="14"/>
  <c r="BP17" i="14"/>
  <c r="BQ16" i="14"/>
  <c r="BP16" i="14"/>
  <c r="BQ15" i="14"/>
  <c r="BP15" i="14"/>
  <c r="BQ14" i="14"/>
  <c r="BP14" i="14"/>
  <c r="BQ13" i="14"/>
  <c r="BP13" i="14"/>
  <c r="BQ12" i="14"/>
  <c r="BP12" i="14"/>
  <c r="BQ11" i="14"/>
  <c r="BP11" i="14"/>
  <c r="BQ10" i="14"/>
  <c r="BP10" i="14"/>
  <c r="BQ9" i="14"/>
  <c r="BP9" i="14"/>
  <c r="BQ8" i="14"/>
  <c r="BP8" i="14"/>
  <c r="BQ7" i="14"/>
  <c r="BP7" i="14"/>
  <c r="BQ6" i="14"/>
  <c r="BP6" i="14"/>
  <c r="BQ5" i="14"/>
  <c r="BP5" i="14"/>
  <c r="BQ4" i="14"/>
  <c r="BP4" i="14"/>
  <c r="BQ3" i="14"/>
  <c r="BP3" i="14"/>
  <c r="BQ2" i="14"/>
  <c r="BP2" i="14"/>
  <c r="BK3" i="14"/>
  <c r="BL3" i="14"/>
  <c r="BK4" i="14"/>
  <c r="BL4" i="14"/>
  <c r="BK5" i="14"/>
  <c r="BL5" i="14"/>
  <c r="BK6" i="14"/>
  <c r="BL6" i="14"/>
  <c r="BK7" i="14"/>
  <c r="BL7" i="14"/>
  <c r="BK8" i="14"/>
  <c r="BL8" i="14"/>
  <c r="BK9" i="14"/>
  <c r="BL9" i="14"/>
  <c r="BK10" i="14"/>
  <c r="BL10" i="14"/>
  <c r="BK11" i="14"/>
  <c r="BL11" i="14"/>
  <c r="BK12" i="14"/>
  <c r="BL12" i="14"/>
  <c r="BK13" i="14"/>
  <c r="BL13" i="14"/>
  <c r="BK14" i="14"/>
  <c r="BL14" i="14"/>
  <c r="BK15" i="14"/>
  <c r="BL15" i="14"/>
  <c r="BK16" i="14"/>
  <c r="BL16" i="14"/>
  <c r="BK17" i="14"/>
  <c r="BL17" i="14"/>
  <c r="BK18" i="14"/>
  <c r="BL18" i="14"/>
  <c r="BK19" i="14"/>
  <c r="BL19" i="14"/>
  <c r="BK20" i="14"/>
  <c r="BL20" i="14"/>
  <c r="BK21" i="14"/>
  <c r="BL21" i="14"/>
  <c r="BK22" i="14"/>
  <c r="BL22" i="14"/>
  <c r="BK23" i="14"/>
  <c r="BL23" i="14"/>
  <c r="BK24" i="14"/>
  <c r="BL24" i="14"/>
  <c r="BK25" i="14"/>
  <c r="BL25" i="14"/>
  <c r="BK26" i="14"/>
  <c r="BL26" i="14"/>
  <c r="BK27" i="14"/>
  <c r="BL27" i="14"/>
  <c r="BK28" i="14"/>
  <c r="BL28" i="14"/>
  <c r="BK29" i="14"/>
  <c r="BL29" i="14"/>
  <c r="BK30" i="14"/>
  <c r="BL30" i="14"/>
  <c r="BK31" i="14"/>
  <c r="BL31" i="14"/>
  <c r="BK32" i="14"/>
  <c r="BL32" i="14"/>
  <c r="BK33" i="14"/>
  <c r="BL33" i="14"/>
  <c r="BK34" i="14"/>
  <c r="BL34" i="14"/>
  <c r="BK35" i="14"/>
  <c r="BL35" i="14"/>
  <c r="BK36" i="14"/>
  <c r="BL36" i="14"/>
  <c r="BK37" i="14"/>
  <c r="BL37" i="14"/>
  <c r="BK38" i="14"/>
  <c r="BL38" i="14"/>
  <c r="BK39" i="14"/>
  <c r="BL39" i="14"/>
  <c r="BK40" i="14"/>
  <c r="BL40" i="14"/>
  <c r="BK41" i="14"/>
  <c r="BL41" i="14"/>
  <c r="BK42" i="14"/>
  <c r="BL42" i="14"/>
  <c r="BK43" i="14"/>
  <c r="BL43" i="14"/>
  <c r="BK44" i="14"/>
  <c r="BL44" i="14"/>
  <c r="BK45" i="14"/>
  <c r="BL45" i="14"/>
  <c r="BK46" i="14"/>
  <c r="BL46" i="14"/>
  <c r="BK47" i="14"/>
  <c r="BL47" i="14"/>
  <c r="BK48" i="14"/>
  <c r="BL48" i="14"/>
  <c r="BK49" i="14"/>
  <c r="BL49" i="14"/>
  <c r="BK50" i="14"/>
  <c r="BL50" i="14"/>
  <c r="BK51" i="14"/>
  <c r="BL51" i="14"/>
  <c r="BK52" i="14"/>
  <c r="BL52" i="14"/>
  <c r="BK53" i="14"/>
  <c r="BL53" i="14"/>
  <c r="BK54" i="14"/>
  <c r="BL54" i="14"/>
  <c r="BK55" i="14"/>
  <c r="BL55" i="14"/>
  <c r="BK56" i="14"/>
  <c r="BL56" i="14"/>
  <c r="BK57" i="14"/>
  <c r="BL57" i="14"/>
  <c r="BK58" i="14"/>
  <c r="BL58" i="14"/>
  <c r="BK59" i="14"/>
  <c r="BL59" i="14"/>
  <c r="BK60" i="14"/>
  <c r="BL60" i="14"/>
  <c r="BK61" i="14"/>
  <c r="BL61" i="14"/>
  <c r="BK62" i="14"/>
  <c r="BL62" i="14"/>
  <c r="BK63" i="14"/>
  <c r="BL63" i="14"/>
  <c r="BK64" i="14"/>
  <c r="BL64" i="14"/>
  <c r="BK65" i="14"/>
  <c r="BL65" i="14"/>
  <c r="BK66" i="14"/>
  <c r="BL66" i="14"/>
  <c r="BK67" i="14"/>
  <c r="BL67" i="14"/>
  <c r="BK68" i="14"/>
  <c r="BL68" i="14"/>
  <c r="BK69" i="14"/>
  <c r="BL69" i="14"/>
  <c r="BK70" i="14"/>
  <c r="BL70" i="14"/>
  <c r="BK71" i="14"/>
  <c r="BL71" i="14"/>
  <c r="BK72" i="14"/>
  <c r="BL72" i="14"/>
  <c r="BK73" i="14"/>
  <c r="BL73" i="14"/>
  <c r="BK74" i="14"/>
  <c r="BL74" i="14"/>
  <c r="BK75" i="14"/>
  <c r="BL75" i="14"/>
  <c r="BK76" i="14"/>
  <c r="BL76" i="14"/>
  <c r="BK77" i="14"/>
  <c r="BL77" i="14"/>
  <c r="BK78" i="14"/>
  <c r="BL78" i="14"/>
  <c r="BK79" i="14"/>
  <c r="BL79" i="14"/>
  <c r="BK80" i="14"/>
  <c r="BL80" i="14"/>
  <c r="BK81" i="14"/>
  <c r="BL81" i="14"/>
  <c r="BK82" i="14"/>
  <c r="BL82" i="14"/>
  <c r="BK83" i="14"/>
  <c r="BL83" i="14"/>
  <c r="BK84" i="14"/>
  <c r="BL84" i="14"/>
  <c r="BK85" i="14"/>
  <c r="BL85" i="14"/>
  <c r="BK86" i="14"/>
  <c r="BL86" i="14"/>
  <c r="BK87" i="14"/>
  <c r="BL87" i="14"/>
  <c r="BK88" i="14"/>
  <c r="BL88" i="14"/>
  <c r="BK89" i="14"/>
  <c r="BL89" i="14"/>
  <c r="BK90" i="14"/>
  <c r="BL90" i="14"/>
  <c r="BK91" i="14"/>
  <c r="BL91" i="14"/>
  <c r="BK92" i="14"/>
  <c r="BL92" i="14"/>
  <c r="BK93" i="14"/>
  <c r="BL93" i="14"/>
  <c r="BK94" i="14"/>
  <c r="BL94" i="14"/>
  <c r="BK95" i="14"/>
  <c r="BL95" i="14"/>
  <c r="BK96" i="14"/>
  <c r="BL96" i="14"/>
  <c r="BK97" i="14"/>
  <c r="BL97" i="14"/>
  <c r="BK98" i="14"/>
  <c r="BL98" i="14"/>
  <c r="BK99" i="14"/>
  <c r="BL99" i="14"/>
  <c r="BK100" i="14"/>
  <c r="BL100" i="14"/>
  <c r="BK101" i="14"/>
  <c r="BL101" i="14"/>
  <c r="BK102" i="14"/>
  <c r="BL102" i="14"/>
  <c r="BK103" i="14"/>
  <c r="BL103" i="14"/>
  <c r="BK104" i="14"/>
  <c r="BL104" i="14"/>
  <c r="BK105" i="14"/>
  <c r="BL105" i="14"/>
  <c r="BK106" i="14"/>
  <c r="BL106" i="14"/>
  <c r="BK107" i="14"/>
  <c r="BL107" i="14"/>
  <c r="BK108" i="14"/>
  <c r="BL108" i="14"/>
  <c r="BK109" i="14"/>
  <c r="BL109" i="14"/>
  <c r="BK110" i="14"/>
  <c r="BL110" i="14"/>
  <c r="BK111" i="14"/>
  <c r="BL111" i="14"/>
  <c r="BK112" i="14"/>
  <c r="BL112" i="14"/>
  <c r="BK113" i="14"/>
  <c r="BL113" i="14"/>
  <c r="BK114" i="14"/>
  <c r="BL114" i="14"/>
  <c r="BK115" i="14"/>
  <c r="BL115" i="14"/>
  <c r="BK116" i="14"/>
  <c r="BL116" i="14"/>
  <c r="BK117" i="14"/>
  <c r="BL117" i="14"/>
  <c r="BK118" i="14"/>
  <c r="BL118" i="14"/>
  <c r="BK119" i="14"/>
  <c r="BL119" i="14"/>
  <c r="BK120" i="14"/>
  <c r="BL120" i="14"/>
  <c r="BK121" i="14"/>
  <c r="BL121" i="14"/>
  <c r="BK122" i="14"/>
  <c r="BL122" i="14"/>
  <c r="BK123" i="14"/>
  <c r="BL123" i="14"/>
  <c r="BK124" i="14"/>
  <c r="BL124" i="14"/>
  <c r="BK125" i="14"/>
  <c r="BL125" i="14"/>
  <c r="BK126" i="14"/>
  <c r="BL126" i="14"/>
  <c r="BK127" i="14"/>
  <c r="BL127" i="14"/>
  <c r="BK128" i="14"/>
  <c r="BL128" i="14"/>
  <c r="BK129" i="14"/>
  <c r="BL129" i="14"/>
  <c r="BK130" i="14"/>
  <c r="BL130" i="14"/>
  <c r="BK131" i="14"/>
  <c r="BL131" i="14"/>
  <c r="BK132" i="14"/>
  <c r="BL132" i="14"/>
  <c r="BK133" i="14"/>
  <c r="BL133" i="14"/>
  <c r="BK134" i="14"/>
  <c r="BL134" i="14"/>
  <c r="BK135" i="14"/>
  <c r="BL135" i="14"/>
  <c r="BK136" i="14"/>
  <c r="BL136" i="14"/>
  <c r="BK137" i="14"/>
  <c r="BL137" i="14"/>
  <c r="BK138" i="14"/>
  <c r="BL138" i="14"/>
  <c r="BK139" i="14"/>
  <c r="BL139" i="14"/>
  <c r="BK140" i="14"/>
  <c r="BL140" i="14"/>
  <c r="BK141" i="14"/>
  <c r="BL141" i="14"/>
  <c r="BK142" i="14"/>
  <c r="BL142" i="14"/>
  <c r="BK143" i="14"/>
  <c r="BL143" i="14"/>
  <c r="BK144" i="14"/>
  <c r="BL144" i="14"/>
  <c r="BK145" i="14"/>
  <c r="BL145" i="14"/>
  <c r="BK146" i="14"/>
  <c r="BL146" i="14"/>
  <c r="BK147" i="14"/>
  <c r="BL147" i="14"/>
  <c r="BK148" i="14"/>
  <c r="BL148" i="14"/>
  <c r="BK149" i="14"/>
  <c r="BL149" i="14"/>
  <c r="BK150" i="14"/>
  <c r="BL150" i="14"/>
  <c r="BK2" i="14"/>
  <c r="BL2" i="14"/>
  <c r="AV74" i="14" l="1"/>
  <c r="AV106" i="14"/>
  <c r="AV21" i="14"/>
  <c r="AV63" i="14"/>
  <c r="AV65" i="14"/>
  <c r="AV67" i="14"/>
  <c r="AV69" i="14"/>
  <c r="AV71" i="14"/>
  <c r="AV73" i="14"/>
  <c r="AV75" i="14"/>
  <c r="AV77" i="14"/>
  <c r="AV79" i="14"/>
  <c r="AV81" i="14"/>
  <c r="AV83" i="14"/>
  <c r="AV85" i="14"/>
  <c r="AV95" i="14"/>
  <c r="AV97" i="14"/>
  <c r="AV99" i="14"/>
  <c r="AV101" i="14"/>
  <c r="AV103" i="14"/>
  <c r="AV105" i="14"/>
  <c r="AV107" i="14"/>
  <c r="AV109" i="14"/>
  <c r="AV111" i="14"/>
  <c r="AV113" i="14"/>
  <c r="AV149" i="14"/>
  <c r="BA42" i="14"/>
  <c r="BA46" i="14"/>
  <c r="BA50" i="14"/>
  <c r="BA54" i="14"/>
  <c r="BA58" i="14"/>
  <c r="BA62" i="14"/>
  <c r="BA74" i="14"/>
  <c r="BA78" i="14"/>
  <c r="BA82" i="14"/>
  <c r="BA84" i="14"/>
  <c r="BA90" i="14"/>
  <c r="BA92" i="14"/>
  <c r="BA98" i="14"/>
  <c r="BA100" i="14"/>
  <c r="BA122" i="14"/>
  <c r="BA124" i="14"/>
  <c r="AV115" i="14"/>
  <c r="AV117" i="14"/>
  <c r="BA53" i="14"/>
  <c r="BA85" i="14"/>
  <c r="AV16" i="14"/>
  <c r="AV20" i="14"/>
  <c r="AV29" i="14"/>
  <c r="AV53" i="14"/>
  <c r="AV22" i="14"/>
  <c r="AV24" i="14"/>
  <c r="AV28" i="14"/>
  <c r="AV30" i="14"/>
  <c r="AV32" i="14"/>
  <c r="AV36" i="14"/>
  <c r="AV46" i="14"/>
  <c r="AV48" i="14"/>
  <c r="AV52" i="14"/>
  <c r="AV118" i="14"/>
  <c r="AV120" i="14"/>
  <c r="AV124" i="14"/>
  <c r="AV126" i="14"/>
  <c r="AV128" i="14"/>
  <c r="AV132" i="14"/>
  <c r="AV142" i="14"/>
  <c r="AV144" i="14"/>
  <c r="AV148" i="14"/>
  <c r="BA6" i="14"/>
  <c r="BA30" i="14"/>
  <c r="AV10" i="14"/>
  <c r="AV61" i="14"/>
  <c r="AV138" i="14"/>
  <c r="BA38" i="14"/>
  <c r="BA130" i="14"/>
  <c r="BA132" i="14"/>
  <c r="BA149" i="14"/>
  <c r="AV3" i="14"/>
  <c r="AV5" i="14"/>
  <c r="AV7" i="14"/>
  <c r="AV9" i="14"/>
  <c r="AV11" i="14"/>
  <c r="AV13" i="14"/>
  <c r="AV15" i="14"/>
  <c r="AV17" i="14"/>
  <c r="AV19" i="14"/>
  <c r="AV42" i="14"/>
  <c r="AV54" i="14"/>
  <c r="AV56" i="14"/>
  <c r="AV60" i="14"/>
  <c r="AV62" i="14"/>
  <c r="AV64" i="14"/>
  <c r="AV68" i="14"/>
  <c r="AV78" i="14"/>
  <c r="AV80" i="14"/>
  <c r="AV84" i="14"/>
  <c r="AV93" i="14"/>
  <c r="AV127" i="14"/>
  <c r="AV129" i="14"/>
  <c r="AV131" i="14"/>
  <c r="AV133" i="14"/>
  <c r="AV135" i="14"/>
  <c r="AV137" i="14"/>
  <c r="AV139" i="14"/>
  <c r="AV141" i="14"/>
  <c r="AV143" i="14"/>
  <c r="AV145" i="14"/>
  <c r="AV147" i="14"/>
  <c r="BA21" i="14"/>
  <c r="BA33" i="14"/>
  <c r="BA41" i="14"/>
  <c r="BA57" i="14"/>
  <c r="BA70" i="14"/>
  <c r="BA138" i="14"/>
  <c r="BA146" i="14"/>
  <c r="BA148" i="14"/>
  <c r="AV31" i="14"/>
  <c r="AV33" i="14"/>
  <c r="AV35" i="14"/>
  <c r="AV37" i="14"/>
  <c r="AV39" i="14"/>
  <c r="AV41" i="14"/>
  <c r="AV43" i="14"/>
  <c r="AV45" i="14"/>
  <c r="AV47" i="14"/>
  <c r="AV49" i="14"/>
  <c r="AV51" i="14"/>
  <c r="AV86" i="14"/>
  <c r="AV88" i="14"/>
  <c r="AV92" i="14"/>
  <c r="AV94" i="14"/>
  <c r="AV96" i="14"/>
  <c r="AV100" i="14"/>
  <c r="AV110" i="14"/>
  <c r="AV112" i="14"/>
  <c r="AV116" i="14"/>
  <c r="BA12" i="14"/>
  <c r="BA14" i="14"/>
  <c r="BA18" i="14"/>
  <c r="BA22" i="14"/>
  <c r="BA26" i="14"/>
  <c r="BA65" i="14"/>
  <c r="BA73" i="14"/>
  <c r="BA91" i="14"/>
  <c r="BA93" i="14"/>
  <c r="BA97" i="14"/>
  <c r="BA99" i="14"/>
  <c r="BA101" i="14"/>
  <c r="BA105" i="14"/>
  <c r="BA107" i="14"/>
  <c r="BA109" i="14"/>
  <c r="BA113" i="14"/>
  <c r="BA115" i="14"/>
  <c r="BA117" i="14"/>
  <c r="BA123" i="14"/>
  <c r="BA125" i="14"/>
  <c r="BA129" i="14"/>
  <c r="AV50" i="14"/>
  <c r="BM2" i="14"/>
  <c r="BM147" i="14"/>
  <c r="BM145" i="14"/>
  <c r="BM143" i="14"/>
  <c r="BM141" i="14"/>
  <c r="BM139" i="14"/>
  <c r="BM137" i="14"/>
  <c r="BM135" i="14"/>
  <c r="BM133" i="14"/>
  <c r="BM131" i="14"/>
  <c r="BM129" i="14"/>
  <c r="BM127" i="14"/>
  <c r="BM125" i="14"/>
  <c r="BM123" i="14"/>
  <c r="BM121" i="14"/>
  <c r="BM119" i="14"/>
  <c r="BM117" i="14"/>
  <c r="BM115" i="14"/>
  <c r="BM113" i="14"/>
  <c r="BM111" i="14"/>
  <c r="BM109" i="14"/>
  <c r="BM107" i="14"/>
  <c r="BM105" i="14"/>
  <c r="BM103" i="14"/>
  <c r="BM101" i="14"/>
  <c r="BM99" i="14"/>
  <c r="BM97" i="14"/>
  <c r="BM95" i="14"/>
  <c r="BM93" i="14"/>
  <c r="BM91" i="14"/>
  <c r="BM89" i="14"/>
  <c r="BM87" i="14"/>
  <c r="BM85" i="14"/>
  <c r="BM83" i="14"/>
  <c r="BM81" i="14"/>
  <c r="BM149" i="14"/>
  <c r="AV18" i="14"/>
  <c r="AV82" i="14"/>
  <c r="AV114" i="14"/>
  <c r="AV146" i="14"/>
  <c r="BA29" i="14"/>
  <c r="BA61" i="14"/>
  <c r="BM79" i="14"/>
  <c r="BM77" i="14"/>
  <c r="BM75" i="14"/>
  <c r="BM73" i="14"/>
  <c r="CA73" i="14" s="1"/>
  <c r="BM71" i="14"/>
  <c r="BM69" i="14"/>
  <c r="BM67" i="14"/>
  <c r="BM65" i="14"/>
  <c r="BM63" i="14"/>
  <c r="BM61" i="14"/>
  <c r="BM59" i="14"/>
  <c r="BM57" i="14"/>
  <c r="BM55" i="14"/>
  <c r="BM53" i="14"/>
  <c r="BM51" i="14"/>
  <c r="BM49" i="14"/>
  <c r="BM47" i="14"/>
  <c r="BM45" i="14"/>
  <c r="BM43" i="14"/>
  <c r="BM41" i="14"/>
  <c r="BM39" i="14"/>
  <c r="BM37" i="14"/>
  <c r="BM35" i="14"/>
  <c r="BM33" i="14"/>
  <c r="BM31" i="14"/>
  <c r="BM29" i="14"/>
  <c r="BM27" i="14"/>
  <c r="BM25" i="14"/>
  <c r="BM23" i="14"/>
  <c r="BM21" i="14"/>
  <c r="BM19" i="14"/>
  <c r="BM17" i="14"/>
  <c r="BM15" i="14"/>
  <c r="BM13" i="14"/>
  <c r="BM11" i="14"/>
  <c r="BM9" i="14"/>
  <c r="BM7" i="14"/>
  <c r="BM5" i="14"/>
  <c r="BM3" i="14"/>
  <c r="BR5" i="14"/>
  <c r="BR9" i="14"/>
  <c r="BR13" i="14"/>
  <c r="BR17" i="14"/>
  <c r="BR21" i="14"/>
  <c r="BR25" i="14"/>
  <c r="BR29" i="14"/>
  <c r="BR33" i="14"/>
  <c r="BR37" i="14"/>
  <c r="BR41" i="14"/>
  <c r="BR45" i="14"/>
  <c r="BR49" i="14"/>
  <c r="BR53" i="14"/>
  <c r="BR61" i="14"/>
  <c r="BR69" i="14"/>
  <c r="BR77" i="14"/>
  <c r="BR85" i="14"/>
  <c r="BR89" i="14"/>
  <c r="BR93" i="14"/>
  <c r="BR101" i="14"/>
  <c r="BR105" i="14"/>
  <c r="CA105" i="14" s="1"/>
  <c r="BR109" i="14"/>
  <c r="BR117" i="14"/>
  <c r="BR121" i="14"/>
  <c r="BR125" i="14"/>
  <c r="BR133" i="14"/>
  <c r="BR137" i="14"/>
  <c r="BR141" i="14"/>
  <c r="BR149" i="14"/>
  <c r="AV26" i="14"/>
  <c r="AV58" i="14"/>
  <c r="AV90" i="14"/>
  <c r="AV122" i="14"/>
  <c r="BA5" i="14"/>
  <c r="BA37" i="14"/>
  <c r="BA69" i="14"/>
  <c r="BA131" i="14"/>
  <c r="BR2" i="14"/>
  <c r="BR4" i="14"/>
  <c r="BR6" i="14"/>
  <c r="BR8" i="14"/>
  <c r="BR10" i="14"/>
  <c r="BR12" i="14"/>
  <c r="BR14" i="14"/>
  <c r="BR16" i="14"/>
  <c r="BR18" i="14"/>
  <c r="BR20" i="14"/>
  <c r="BR22" i="14"/>
  <c r="BR24" i="14"/>
  <c r="BR26" i="14"/>
  <c r="BR28" i="14"/>
  <c r="BR30" i="14"/>
  <c r="BR32" i="14"/>
  <c r="BR34" i="14"/>
  <c r="BR36" i="14"/>
  <c r="BR38" i="14"/>
  <c r="BR40" i="14"/>
  <c r="BR42" i="14"/>
  <c r="BR44" i="14"/>
  <c r="BR46" i="14"/>
  <c r="AV2" i="14"/>
  <c r="AV6" i="14"/>
  <c r="AV8" i="14"/>
  <c r="AV12" i="14"/>
  <c r="AV23" i="14"/>
  <c r="AV25" i="14"/>
  <c r="AV27" i="14"/>
  <c r="AV34" i="14"/>
  <c r="AV38" i="14"/>
  <c r="AV40" i="14"/>
  <c r="AV44" i="14"/>
  <c r="AV55" i="14"/>
  <c r="AV57" i="14"/>
  <c r="AV59" i="14"/>
  <c r="AV66" i="14"/>
  <c r="AV70" i="14"/>
  <c r="AV72" i="14"/>
  <c r="AV76" i="14"/>
  <c r="AV87" i="14"/>
  <c r="AV89" i="14"/>
  <c r="AV91" i="14"/>
  <c r="AV98" i="14"/>
  <c r="AV102" i="14"/>
  <c r="AV104" i="14"/>
  <c r="AV108" i="14"/>
  <c r="AV119" i="14"/>
  <c r="AV121" i="14"/>
  <c r="AV123" i="14"/>
  <c r="AV130" i="14"/>
  <c r="AV134" i="14"/>
  <c r="AV136" i="14"/>
  <c r="AV140" i="14"/>
  <c r="BA2" i="14"/>
  <c r="BA4" i="14"/>
  <c r="BA13" i="14"/>
  <c r="BA15" i="14"/>
  <c r="BA17" i="14"/>
  <c r="CA17" i="14" s="1"/>
  <c r="BA34" i="14"/>
  <c r="BA45" i="14"/>
  <c r="BA49" i="14"/>
  <c r="BA66" i="14"/>
  <c r="BA77" i="14"/>
  <c r="BA81" i="14"/>
  <c r="BA83" i="14"/>
  <c r="BA106" i="14"/>
  <c r="BA108" i="14"/>
  <c r="BA114" i="14"/>
  <c r="BA116" i="14"/>
  <c r="BA137" i="14"/>
  <c r="BA139" i="14"/>
  <c r="BA141" i="14"/>
  <c r="BA145" i="14"/>
  <c r="BA147" i="14"/>
  <c r="BR57" i="14"/>
  <c r="BR65" i="14"/>
  <c r="BR81" i="14"/>
  <c r="BR97" i="14"/>
  <c r="BR113" i="14"/>
  <c r="BR129" i="14"/>
  <c r="BR145" i="14"/>
  <c r="CA109" i="14"/>
  <c r="BR48" i="14"/>
  <c r="BR50" i="14"/>
  <c r="BR52" i="14"/>
  <c r="BR54" i="14"/>
  <c r="BR56" i="14"/>
  <c r="BR58" i="14"/>
  <c r="BR60" i="14"/>
  <c r="BR62" i="14"/>
  <c r="BR64" i="14"/>
  <c r="BR66" i="14"/>
  <c r="BR68" i="14"/>
  <c r="BR70" i="14"/>
  <c r="BR72" i="14"/>
  <c r="BR74" i="14"/>
  <c r="BR76" i="14"/>
  <c r="BR78" i="14"/>
  <c r="BR80" i="14"/>
  <c r="BR82" i="14"/>
  <c r="BR84" i="14"/>
  <c r="BR86" i="14"/>
  <c r="BR88" i="14"/>
  <c r="BR90" i="14"/>
  <c r="BR92" i="14"/>
  <c r="BR94" i="14"/>
  <c r="BR96" i="14"/>
  <c r="BR98" i="14"/>
  <c r="BR100" i="14"/>
  <c r="BR102" i="14"/>
  <c r="BR104" i="14"/>
  <c r="BR106" i="14"/>
  <c r="BR108" i="14"/>
  <c r="BR110" i="14"/>
  <c r="BR112" i="14"/>
  <c r="BR114" i="14"/>
  <c r="BR116" i="14"/>
  <c r="BR118" i="14"/>
  <c r="BR120" i="14"/>
  <c r="BR122" i="14"/>
  <c r="BR124" i="14"/>
  <c r="BR126" i="14"/>
  <c r="BR128" i="14"/>
  <c r="BR130" i="14"/>
  <c r="BR132" i="14"/>
  <c r="BR134" i="14"/>
  <c r="BR136" i="14"/>
  <c r="BR138" i="14"/>
  <c r="BR140" i="14"/>
  <c r="BR142" i="14"/>
  <c r="BR144" i="14"/>
  <c r="BR146" i="14"/>
  <c r="BR148" i="14"/>
  <c r="BR150" i="14"/>
  <c r="BA121" i="14"/>
  <c r="BA10" i="14"/>
  <c r="BA89" i="14"/>
  <c r="BA20" i="14"/>
  <c r="BA23" i="14"/>
  <c r="BA28" i="14"/>
  <c r="BA31" i="14"/>
  <c r="BA36" i="14"/>
  <c r="BA39" i="14"/>
  <c r="BA44" i="14"/>
  <c r="BA47" i="14"/>
  <c r="BA52" i="14"/>
  <c r="BA55" i="14"/>
  <c r="BA60" i="14"/>
  <c r="BA63" i="14"/>
  <c r="BA68" i="14"/>
  <c r="BA71" i="14"/>
  <c r="BA76" i="14"/>
  <c r="BA79" i="14"/>
  <c r="BA86" i="14"/>
  <c r="BA88" i="14"/>
  <c r="BA95" i="14"/>
  <c r="BA102" i="14"/>
  <c r="BA104" i="14"/>
  <c r="BA111" i="14"/>
  <c r="BA118" i="14"/>
  <c r="BA120" i="14"/>
  <c r="BA127" i="14"/>
  <c r="BA134" i="14"/>
  <c r="BA136" i="14"/>
  <c r="BA143" i="14"/>
  <c r="BA150" i="14"/>
  <c r="BA3" i="14"/>
  <c r="BA8" i="14"/>
  <c r="BA11" i="14"/>
  <c r="BA16" i="14"/>
  <c r="BA19" i="14"/>
  <c r="BA24" i="14"/>
  <c r="BA27" i="14"/>
  <c r="BA32" i="14"/>
  <c r="BA35" i="14"/>
  <c r="BA40" i="14"/>
  <c r="BA43" i="14"/>
  <c r="BA48" i="14"/>
  <c r="BA51" i="14"/>
  <c r="BA56" i="14"/>
  <c r="BA59" i="14"/>
  <c r="BA64" i="14"/>
  <c r="BA67" i="14"/>
  <c r="BA72" i="14"/>
  <c r="BA75" i="14"/>
  <c r="BA80" i="14"/>
  <c r="BA87" i="14"/>
  <c r="BA94" i="14"/>
  <c r="BA96" i="14"/>
  <c r="BA103" i="14"/>
  <c r="BA110" i="14"/>
  <c r="BA112" i="14"/>
  <c r="BA119" i="14"/>
  <c r="BA126" i="14"/>
  <c r="BA128" i="14"/>
  <c r="BA135" i="14"/>
  <c r="BA140" i="14"/>
  <c r="BA142" i="14"/>
  <c r="BA144" i="14"/>
  <c r="BM150" i="14"/>
  <c r="BM148" i="14"/>
  <c r="BM146" i="14"/>
  <c r="BM144" i="14"/>
  <c r="BM142" i="14"/>
  <c r="BM140" i="14"/>
  <c r="BM138" i="14"/>
  <c r="BM136" i="14"/>
  <c r="BM134" i="14"/>
  <c r="BM132" i="14"/>
  <c r="BM130" i="14"/>
  <c r="BM128" i="14"/>
  <c r="BM126" i="14"/>
  <c r="BM124" i="14"/>
  <c r="BM122" i="14"/>
  <c r="BM120" i="14"/>
  <c r="CA120" i="14" s="1"/>
  <c r="BM118" i="14"/>
  <c r="BM116" i="14"/>
  <c r="BM114" i="14"/>
  <c r="BM112" i="14"/>
  <c r="BM110" i="14"/>
  <c r="BM108" i="14"/>
  <c r="BM106" i="14"/>
  <c r="BM104" i="14"/>
  <c r="BM102" i="14"/>
  <c r="BM100" i="14"/>
  <c r="BR3" i="14"/>
  <c r="BR7" i="14"/>
  <c r="BR11" i="14"/>
  <c r="BR15" i="14"/>
  <c r="BR19" i="14"/>
  <c r="BR23" i="14"/>
  <c r="BR27" i="14"/>
  <c r="BR31" i="14"/>
  <c r="BR35" i="14"/>
  <c r="BR39" i="14"/>
  <c r="BR43" i="14"/>
  <c r="BR47" i="14"/>
  <c r="BR51" i="14"/>
  <c r="BR55" i="14"/>
  <c r="BR59" i="14"/>
  <c r="BR63" i="14"/>
  <c r="BR67" i="14"/>
  <c r="BR71" i="14"/>
  <c r="BR75" i="14"/>
  <c r="BR79" i="14"/>
  <c r="BR83" i="14"/>
  <c r="BR87" i="14"/>
  <c r="BR91" i="14"/>
  <c r="BR95" i="14"/>
  <c r="BR99" i="14"/>
  <c r="BR103" i="14"/>
  <c r="BR107" i="14"/>
  <c r="BR111" i="14"/>
  <c r="BR115" i="14"/>
  <c r="BR119" i="14"/>
  <c r="BR123" i="14"/>
  <c r="BR127" i="14"/>
  <c r="BR131" i="14"/>
  <c r="BR135" i="14"/>
  <c r="BR139" i="14"/>
  <c r="BR143" i="14"/>
  <c r="BR147" i="14"/>
  <c r="BM98" i="14"/>
  <c r="BM96" i="14"/>
  <c r="BM94" i="14"/>
  <c r="BM92" i="14"/>
  <c r="BM90" i="14"/>
  <c r="BM88" i="14"/>
  <c r="BM86" i="14"/>
  <c r="BM84" i="14"/>
  <c r="BM82" i="14"/>
  <c r="BM80" i="14"/>
  <c r="BM78" i="14"/>
  <c r="BM76" i="14"/>
  <c r="BM74" i="14"/>
  <c r="BM72" i="14"/>
  <c r="BM70" i="14"/>
  <c r="BM68" i="14"/>
  <c r="BM66" i="14"/>
  <c r="BM64" i="14"/>
  <c r="BM62" i="14"/>
  <c r="BM60" i="14"/>
  <c r="BM58" i="14"/>
  <c r="BM56" i="14"/>
  <c r="BM54" i="14"/>
  <c r="BM52" i="14"/>
  <c r="BM50" i="14"/>
  <c r="BM48" i="14"/>
  <c r="BM46" i="14"/>
  <c r="BM44" i="14"/>
  <c r="BM42" i="14"/>
  <c r="CA42" i="14" s="1"/>
  <c r="BM40" i="14"/>
  <c r="BM38" i="14"/>
  <c r="BM36" i="14"/>
  <c r="BM34" i="14"/>
  <c r="CA34" i="14" s="1"/>
  <c r="BM32" i="14"/>
  <c r="BM30" i="14"/>
  <c r="BM28" i="14"/>
  <c r="BM26" i="14"/>
  <c r="CA26" i="14" s="1"/>
  <c r="BM24" i="14"/>
  <c r="BM22" i="14"/>
  <c r="BM20" i="14"/>
  <c r="BM18" i="14"/>
  <c r="CA18" i="14" s="1"/>
  <c r="BM16" i="14"/>
  <c r="BM14" i="14"/>
  <c r="BM12" i="14"/>
  <c r="CA12" i="14" s="1"/>
  <c r="BM10" i="14"/>
  <c r="BM8" i="14"/>
  <c r="BM6" i="14"/>
  <c r="BM4" i="14"/>
  <c r="CA7" i="14" l="1"/>
  <c r="CA113" i="14"/>
  <c r="CA57" i="14"/>
  <c r="CA147" i="14"/>
  <c r="CA131" i="14"/>
  <c r="CA99" i="14"/>
  <c r="CA22" i="14"/>
  <c r="CA46" i="14"/>
  <c r="CA54" i="14"/>
  <c r="CA62" i="14"/>
  <c r="CA145" i="14"/>
  <c r="CA114" i="14"/>
  <c r="CA81" i="14"/>
  <c r="CA45" i="14"/>
  <c r="CA13" i="14"/>
  <c r="CA37" i="14"/>
  <c r="CA137" i="14"/>
  <c r="CA21" i="14"/>
  <c r="CA53" i="14"/>
  <c r="CA69" i="14"/>
  <c r="CA149" i="14"/>
  <c r="CA97" i="14"/>
  <c r="CA49" i="14"/>
  <c r="CA33" i="14"/>
  <c r="CA85" i="14"/>
  <c r="CA115" i="14"/>
  <c r="CA83" i="14"/>
  <c r="CA123" i="14"/>
  <c r="CA91" i="14"/>
  <c r="CA25" i="14"/>
  <c r="CA9" i="14"/>
  <c r="CA127" i="14"/>
  <c r="CA30" i="14"/>
  <c r="CA70" i="14"/>
  <c r="CA107" i="14"/>
  <c r="CA126" i="14"/>
  <c r="CA129" i="14"/>
  <c r="CA50" i="14"/>
  <c r="CA58" i="14"/>
  <c r="CA66" i="14"/>
  <c r="CA74" i="14"/>
  <c r="CA82" i="14"/>
  <c r="CA90" i="14"/>
  <c r="CA98" i="14"/>
  <c r="CA110" i="14"/>
  <c r="CA87" i="14"/>
  <c r="CA67" i="14"/>
  <c r="CA51" i="14"/>
  <c r="CA35" i="14"/>
  <c r="CA19" i="14"/>
  <c r="CA3" i="14"/>
  <c r="CA134" i="14"/>
  <c r="CA111" i="14"/>
  <c r="CA121" i="14"/>
  <c r="CA77" i="14"/>
  <c r="CA5" i="14"/>
  <c r="CA106" i="14"/>
  <c r="CA122" i="14"/>
  <c r="CA130" i="14"/>
  <c r="CA138" i="14"/>
  <c r="CA146" i="14"/>
  <c r="CA104" i="14"/>
  <c r="CA20" i="14"/>
  <c r="CA65" i="14"/>
  <c r="CA41" i="14"/>
  <c r="CA61" i="14"/>
  <c r="CA14" i="14"/>
  <c r="CA38" i="14"/>
  <c r="CA78" i="14"/>
  <c r="CA63" i="14"/>
  <c r="CA148" i="14"/>
  <c r="CA140" i="14"/>
  <c r="CA124" i="14"/>
  <c r="CA92" i="14"/>
  <c r="CA84" i="14"/>
  <c r="CA29" i="14"/>
  <c r="CA93" i="14"/>
  <c r="CA101" i="14"/>
  <c r="CA117" i="14"/>
  <c r="CA125" i="14"/>
  <c r="CA133" i="14"/>
  <c r="CA141" i="14"/>
  <c r="CA2" i="14"/>
  <c r="CA144" i="14"/>
  <c r="CA128" i="14"/>
  <c r="CA39" i="14"/>
  <c r="CA4" i="14"/>
  <c r="CA142" i="14"/>
  <c r="CA103" i="14"/>
  <c r="CA80" i="14"/>
  <c r="CA64" i="14"/>
  <c r="CA48" i="14"/>
  <c r="CA32" i="14"/>
  <c r="CA16" i="14"/>
  <c r="CA150" i="14"/>
  <c r="CA86" i="14"/>
  <c r="CA68" i="14"/>
  <c r="CA52" i="14"/>
  <c r="CA36" i="14"/>
  <c r="CA55" i="14"/>
  <c r="CA23" i="14"/>
  <c r="CA6" i="14"/>
  <c r="CA15" i="14"/>
  <c r="CA100" i="14"/>
  <c r="CA108" i="14"/>
  <c r="CA116" i="14"/>
  <c r="CA132" i="14"/>
  <c r="CA119" i="14"/>
  <c r="CA96" i="14"/>
  <c r="CA75" i="14"/>
  <c r="CA59" i="14"/>
  <c r="CA43" i="14"/>
  <c r="CA27" i="14"/>
  <c r="CA11" i="14"/>
  <c r="CA143" i="14"/>
  <c r="CA102" i="14"/>
  <c r="CA79" i="14"/>
  <c r="CA47" i="14"/>
  <c r="CA31" i="14"/>
  <c r="CA89" i="14"/>
  <c r="CA71" i="14"/>
  <c r="CA88" i="14"/>
  <c r="CA139" i="14"/>
  <c r="CA135" i="14"/>
  <c r="CA112" i="14"/>
  <c r="CA94" i="14"/>
  <c r="CA72" i="14"/>
  <c r="CA56" i="14"/>
  <c r="CA40" i="14"/>
  <c r="CA24" i="14"/>
  <c r="CA8" i="14"/>
  <c r="CA136" i="14"/>
  <c r="CA118" i="14"/>
  <c r="CA95" i="14"/>
  <c r="CA76" i="14"/>
  <c r="CA60" i="14"/>
  <c r="CA44" i="14"/>
  <c r="CA28" i="14"/>
  <c r="CA10" i="14"/>
</calcChain>
</file>

<file path=xl/sharedStrings.xml><?xml version="1.0" encoding="utf-8"?>
<sst xmlns="http://schemas.openxmlformats.org/spreadsheetml/2006/main" count="4933" uniqueCount="539">
  <si>
    <t>Ship</t>
  </si>
  <si>
    <t>Cost</t>
  </si>
  <si>
    <t>Build Time</t>
  </si>
  <si>
    <t>Hull</t>
  </si>
  <si>
    <t>Speed</t>
  </si>
  <si>
    <t>hgn_assaultcorvette.ship</t>
  </si>
  <si>
    <t>hgn_attackbomber.ship</t>
  </si>
  <si>
    <t>hgn_assaultcorvetteelite.ship</t>
  </si>
  <si>
    <t>hgn_assaultfrigate.ship</t>
  </si>
  <si>
    <t>hgn_attackbomberelite.ship</t>
  </si>
  <si>
    <t>hgn_battlecruiser.ship</t>
  </si>
  <si>
    <t>hgn_carrier.ship</t>
  </si>
  <si>
    <t>hgn_defensefieldfrigate.ship</t>
  </si>
  <si>
    <t>hgn_destroyer.ship</t>
  </si>
  <si>
    <t>hgn_dreadnaught.ship</t>
  </si>
  <si>
    <t>hgn_drone_frigate.ship</t>
  </si>
  <si>
    <t>hgn_drone_frigate_2.ship</t>
  </si>
  <si>
    <t>hgn_drone_frigate_3.ship</t>
  </si>
  <si>
    <t>hgn_ecmprobe.ship</t>
  </si>
  <si>
    <t>hgn_gunturret.ship</t>
  </si>
  <si>
    <t>hgn_hscore.ship</t>
  </si>
  <si>
    <t>hgn_interceptor.ship</t>
  </si>
  <si>
    <t>hgn_ioncannonfrigate.ship</t>
  </si>
  <si>
    <t>hgn_ionturret.ship</t>
  </si>
  <si>
    <t>hgn_marinefrigate.ship</t>
  </si>
  <si>
    <t>hgn_marinefrigate_soban.ship</t>
  </si>
  <si>
    <t>hgn_minelayercorvette.ship</t>
  </si>
  <si>
    <t>hgn_mothership.ship</t>
  </si>
  <si>
    <t>hgn_probe.ship</t>
  </si>
  <si>
    <t>hgn_proximitysensor.ship</t>
  </si>
  <si>
    <t>hgn_pulsarcorvette.ship</t>
  </si>
  <si>
    <t>hgn_resourcecollector.ship</t>
  </si>
  <si>
    <t>hgn_resourcecontroller.ship</t>
  </si>
  <si>
    <t>hgn_scout.ship</t>
  </si>
  <si>
    <t>hgn_shipyard.ship</t>
  </si>
  <si>
    <t>hgn_shipyard_elohim.ship</t>
  </si>
  <si>
    <t>hgn_shipyard_spg.ship</t>
  </si>
  <si>
    <t>hgn_targetdrone.ship</t>
  </si>
  <si>
    <t>hgn_torpedofrigate.ship</t>
  </si>
  <si>
    <t>vgr_assaultfrigate.ship</t>
  </si>
  <si>
    <t>vgr_battlecruiser.ship</t>
  </si>
  <si>
    <t>vgr_bomber.ship</t>
  </si>
  <si>
    <t>vgr_carrier.ship</t>
  </si>
  <si>
    <t>vgr_commandcorvette.ship</t>
  </si>
  <si>
    <t>vgr_commstation.ship</t>
  </si>
  <si>
    <t>vgr_destroyer.ship</t>
  </si>
  <si>
    <t>vgr_heavymissilefrigate.ship</t>
  </si>
  <si>
    <t>vgr_hyperspace_platform.ship</t>
  </si>
  <si>
    <t>vgr_infiltratorfrigate.ship</t>
  </si>
  <si>
    <t>vgr_interceptor.ship</t>
  </si>
  <si>
    <t>vgr_lancefighter.ship</t>
  </si>
  <si>
    <t>vgr_lasercorvette.ship</t>
  </si>
  <si>
    <t>vgr_minelayercorvette.ship</t>
  </si>
  <si>
    <t>vgr_missilecorvette.ship</t>
  </si>
  <si>
    <t>vgr_mothership.ship</t>
  </si>
  <si>
    <t>vgr_mothership_makaan.ship</t>
  </si>
  <si>
    <t>vgr_planetkiller.ship</t>
  </si>
  <si>
    <t>vgr_planetkillermissile.ship</t>
  </si>
  <si>
    <t>vgr_prisonstation.ship</t>
  </si>
  <si>
    <t>vgr_probe.ship</t>
  </si>
  <si>
    <t>vgr_probe_ecm.ship</t>
  </si>
  <si>
    <t>vgr_probe_prox.ship</t>
  </si>
  <si>
    <t>vgr_resourcecollector.ship</t>
  </si>
  <si>
    <t>vgr_resourcecontroller.ship</t>
  </si>
  <si>
    <t>vgr_scout.ship</t>
  </si>
  <si>
    <t>vgr_shipyard.ship</t>
  </si>
  <si>
    <t>vgr_weaponplatform_gun.ship</t>
  </si>
  <si>
    <t>vgr_weaponplatform_missile.ship</t>
  </si>
  <si>
    <t>kus_ambassador.ship</t>
  </si>
  <si>
    <t>kus_assaultfrigate.ship</t>
  </si>
  <si>
    <t>kus_attackbomber.ship</t>
  </si>
  <si>
    <t>kus_carrier.ship</t>
  </si>
  <si>
    <t>kus_cloakedfighter.ship</t>
  </si>
  <si>
    <t>kus_cloakgenerator.ship</t>
  </si>
  <si>
    <t>kus_cryotray.ship</t>
  </si>
  <si>
    <t>kus_cryotray_m03.ship</t>
  </si>
  <si>
    <t>kus_defender.ship</t>
  </si>
  <si>
    <t>kus_destroyer.ship</t>
  </si>
  <si>
    <t>kus_drone0.ship</t>
  </si>
  <si>
    <t>kus_drone1.ship</t>
  </si>
  <si>
    <t>kus_drone10.ship</t>
  </si>
  <si>
    <t>kus_drone11.ship</t>
  </si>
  <si>
    <t>kus_drone12.ship</t>
  </si>
  <si>
    <t>kus_drone13.ship</t>
  </si>
  <si>
    <t>kus_drone2.ship</t>
  </si>
  <si>
    <t>kus_drone3.ship</t>
  </si>
  <si>
    <t>kus_drone4.ship</t>
  </si>
  <si>
    <t>kus_drone5.ship</t>
  </si>
  <si>
    <t>kus_drone6.ship</t>
  </si>
  <si>
    <t>kus_drone7.ship</t>
  </si>
  <si>
    <t>kus_drone8.ship</t>
  </si>
  <si>
    <t>kus_drone9.ship</t>
  </si>
  <si>
    <t>kus_dronefrigate.ship</t>
  </si>
  <si>
    <t>kus_gravwellgenerator.ship</t>
  </si>
  <si>
    <t>kus_headshotasteroid.ship</t>
  </si>
  <si>
    <t>kus_heavycorvette.ship</t>
  </si>
  <si>
    <t>kus_heavycruiser.ship</t>
  </si>
  <si>
    <t>kus_interceptor.ship</t>
  </si>
  <si>
    <t>kus_ioncannonfrigate.ship</t>
  </si>
  <si>
    <t>kus_lightcorvette.ship</t>
  </si>
  <si>
    <t>kus_minelayercorvette.ship</t>
  </si>
  <si>
    <t>kus_missiledestroyer.ship</t>
  </si>
  <si>
    <t>kus_mothership.ship</t>
  </si>
  <si>
    <t>kus_multiguncorvette.ship</t>
  </si>
  <si>
    <t>kus_probe.ship</t>
  </si>
  <si>
    <t>kus_proximitysensor.ship</t>
  </si>
  <si>
    <t>kus_repaircorvette.ship</t>
  </si>
  <si>
    <t>kus_researchship.ship</t>
  </si>
  <si>
    <t>kus_researchship_1.ship</t>
  </si>
  <si>
    <t>kus_researchship_2.ship</t>
  </si>
  <si>
    <t>kus_researchship_3.ship</t>
  </si>
  <si>
    <t>kus_researchship_4.ship</t>
  </si>
  <si>
    <t>kus_researchship_5.ship</t>
  </si>
  <si>
    <t>kus_resourcecollector.ship</t>
  </si>
  <si>
    <t>kus_resourcecontroller.ship</t>
  </si>
  <si>
    <t>kus_salvagecorvette.ship</t>
  </si>
  <si>
    <t>kus_scout.ship</t>
  </si>
  <si>
    <t>kus_sensorarray.ship</t>
  </si>
  <si>
    <t>kus_supportfrigate.ship</t>
  </si>
  <si>
    <t>kus_targetdrone.ship</t>
  </si>
  <si>
    <t>tai_assaultfrigate.ship</t>
  </si>
  <si>
    <t>tai_attackbomber.ship</t>
  </si>
  <si>
    <t>tai_carrier.ship</t>
  </si>
  <si>
    <t>tai_cloakgenerator.ship</t>
  </si>
  <si>
    <t>tai_defender.ship</t>
  </si>
  <si>
    <t>tai_defensefighter.ship</t>
  </si>
  <si>
    <t>tai_destroyer.ship</t>
  </si>
  <si>
    <t>tai_fieldfrigate.ship</t>
  </si>
  <si>
    <t>tai_fieldgenerator.ship</t>
  </si>
  <si>
    <t>tai_fieldgeneratordummy.ship</t>
  </si>
  <si>
    <t>tai_fieldgeneratorsegment1.ship</t>
  </si>
  <si>
    <t>tai_fieldgeneratorsegment2.ship</t>
  </si>
  <si>
    <t>tai_fieldgeneratorsegment3.ship</t>
  </si>
  <si>
    <t>tai_fieldgeneratorsegment4.ship</t>
  </si>
  <si>
    <t>tai_fieldgeneratorsegment5.ship</t>
  </si>
  <si>
    <t>tai_fieldgeneratorsegment6.ship</t>
  </si>
  <si>
    <t>tai_fieldgeneratorsegment7.ship</t>
  </si>
  <si>
    <t>tai_fieldgeneratorsegment8.ship</t>
  </si>
  <si>
    <t>tai_gravwellgenerator.ship</t>
  </si>
  <si>
    <t>tai_headshotasteroid.ship</t>
  </si>
  <si>
    <t>tai_heavycorvette.ship</t>
  </si>
  <si>
    <t>tai_heavycruiser.ship</t>
  </si>
  <si>
    <t>tai_interceptor.ship</t>
  </si>
  <si>
    <t>tai_ioncannonfrigate.ship</t>
  </si>
  <si>
    <t>tai_lightcorvette.ship</t>
  </si>
  <si>
    <t>tai_minelayercorvette.ship</t>
  </si>
  <si>
    <t>tai_missiledestroyer.ship</t>
  </si>
  <si>
    <t>tai_mothership.ship</t>
  </si>
  <si>
    <t>tai_multiguncorvette.ship</t>
  </si>
  <si>
    <t>tai_probe.ship</t>
  </si>
  <si>
    <t>tai_proximitysensor.ship</t>
  </si>
  <si>
    <t>tai_repaircorvette.ship</t>
  </si>
  <si>
    <t>tai_researchship.ship</t>
  </si>
  <si>
    <t>tai_researchship_1.ship</t>
  </si>
  <si>
    <t>tai_researchship_2.ship</t>
  </si>
  <si>
    <t>tai_researchship_3.ship</t>
  </si>
  <si>
    <t>tai_researchship_4.ship</t>
  </si>
  <si>
    <t>tai_researchship_5.ship</t>
  </si>
  <si>
    <t>tai_researchstation.ship</t>
  </si>
  <si>
    <t>tai_resourcecollector.ship</t>
  </si>
  <si>
    <t>tai_resourcecontroller.ship</t>
  </si>
  <si>
    <t>tai_salvagecorvette.ship</t>
  </si>
  <si>
    <t>tai_scout.ship</t>
  </si>
  <si>
    <t>tai_sensorarray.ship</t>
  </si>
  <si>
    <t>tai_supportfrigate.ship</t>
  </si>
  <si>
    <t>tai_targetdrone.ship</t>
  </si>
  <si>
    <t>Game</t>
  </si>
  <si>
    <t>HWR</t>
  </si>
  <si>
    <t>getRulesNum(NewShipType, "cfg_hgn_mothership_maxhealth", 240000)</t>
  </si>
  <si>
    <t>485 --400*1.15</t>
  </si>
  <si>
    <t>55	--30*1.6</t>
  </si>
  <si>
    <t>120 --550/5</t>
  </si>
  <si>
    <t>9 --40/5</t>
  </si>
  <si>
    <t>45	--30*1.5</t>
  </si>
  <si>
    <t>75	--30*2</t>
  </si>
  <si>
    <t>630 --400*1.15</t>
  </si>
  <si>
    <t>200000 --was 90000</t>
  </si>
  <si>
    <t>50	--30*1.5</t>
  </si>
  <si>
    <t>100 --500/5</t>
  </si>
  <si>
    <t>7 --35/5</t>
  </si>
  <si>
    <t>600 --400*1.15</t>
  </si>
  <si>
    <t>250 --625/3</t>
  </si>
  <si>
    <t>15 --45/3</t>
  </si>
  <si>
    <t>getRulesNum(NewShipType, "cfg_kus_mothership_maxhealth", 270000)</t>
  </si>
  <si>
    <t>640 --400*1.25</t>
  </si>
  <si>
    <t>45    --30*1.5</t>
  </si>
  <si>
    <t>650 --400*1.15</t>
  </si>
  <si>
    <t>620 --400*1.15</t>
  </si>
  <si>
    <t>getRulesNum(NewShipType, "cfg_tai_mothership_maxhealth", 280000)</t>
  </si>
  <si>
    <t>660 --400*1.25</t>
  </si>
  <si>
    <t>getRulesNum(NewShipType, "cfg_vgr_mothership_maxhealth", 250000)</t>
  </si>
  <si>
    <t>FrontArmourDamage</t>
  </si>
  <si>
    <t>SideArmourDamage</t>
  </si>
  <si>
    <t>RearArmourDamage</t>
  </si>
  <si>
    <t>Fighter</t>
  </si>
  <si>
    <t>Corvette</t>
  </si>
  <si>
    <t>Frigate</t>
  </si>
  <si>
    <t>Utility</t>
  </si>
  <si>
    <t>Resource</t>
  </si>
  <si>
    <t>Weapon</t>
  </si>
  <si>
    <t>WeaponType</t>
  </si>
  <si>
    <t>WeaponFireType</t>
  </si>
  <si>
    <t>ProjectileVelocity</t>
  </si>
  <si>
    <t>Range</t>
  </si>
  <si>
    <t>BlastRadius</t>
  </si>
  <si>
    <t>FireDuration</t>
  </si>
  <si>
    <t>AnticipationTime</t>
  </si>
  <si>
    <t>FireAxis</t>
  </si>
  <si>
    <t>CheckLineofFire</t>
  </si>
  <si>
    <t>FireDelay</t>
  </si>
  <si>
    <t>BurstLength</t>
  </si>
  <si>
    <t>BurstDelay</t>
  </si>
  <si>
    <t>Shoot at Secondaries</t>
  </si>
  <si>
    <t>Shoot at Surroundings</t>
  </si>
  <si>
    <t>Horizontal Tracking Speed</t>
  </si>
  <si>
    <t>Vertical Tracking Speed</t>
  </si>
  <si>
    <t>Speed Multiplier</t>
  </si>
  <si>
    <t>SheildPenetration</t>
  </si>
  <si>
    <t>DefaultPenetration</t>
  </si>
  <si>
    <t>DefaultAccuracy</t>
  </si>
  <si>
    <t>FiringArc</t>
  </si>
  <si>
    <t>LeftRotation</t>
  </si>
  <si>
    <t>RightRotation</t>
  </si>
  <si>
    <t>DownRotation</t>
  </si>
  <si>
    <t>UpRotation</t>
  </si>
  <si>
    <t>Condition</t>
  </si>
  <si>
    <t>Effect</t>
  </si>
  <si>
    <t>MinimumEffect</t>
  </si>
  <si>
    <t>MaximumEffect</t>
  </si>
  <si>
    <t>hgn_antishipbomblauncher.wepn</t>
  </si>
  <si>
    <t>hgn_antisubsystembomblauncher.wepn</t>
  </si>
  <si>
    <t>hgn_battlecruiserkineticburstcannon.wepn</t>
  </si>
  <si>
    <t>hgn_battlecruiserkineticburstcannonleftside.wepn</t>
  </si>
  <si>
    <t>hgn_battlecruiserkineticburstcannonrightside.wepn</t>
  </si>
  <si>
    <t>hgn_battlecruiserturretedioncannon.wepn</t>
  </si>
  <si>
    <t>hgn_bigtorpedolauncher.wepn</t>
  </si>
  <si>
    <t>hgn_bomblauncher.wepn</t>
  </si>
  <si>
    <t>hgn_burstcannonburst.wepn</t>
  </si>
  <si>
    <t>hgn_clustertorpedolauncher.wepn</t>
  </si>
  <si>
    <t>hgn_commarrayping.wepn</t>
  </si>
  <si>
    <t>hgn_destroyertorpedolauncher.wepn</t>
  </si>
  <si>
    <t>hgn_dreadnaughtautogun.wepn</t>
  </si>
  <si>
    <t>hgn_dreadnaughtchinturret.wepn</t>
  </si>
  <si>
    <t>hgn_dreadnaughtioncannon.wepn</t>
  </si>
  <si>
    <t>hgn_hulldefensegun.wepn</t>
  </si>
  <si>
    <t>hgn_ioncannon.wepn</t>
  </si>
  <si>
    <t>hgn_ioncannonturret.wepn</t>
  </si>
  <si>
    <t>hgn_kineticautogun.wepn</t>
  </si>
  <si>
    <t>hgn_kineticburstcannon.wepn</t>
  </si>
  <si>
    <t>hgn_kineticburstcannondestroyer.wepn</t>
  </si>
  <si>
    <t>hgn_minelayer.wepn</t>
  </si>
  <si>
    <t>hgn_minelayerkineticturret.wepn</t>
  </si>
  <si>
    <t>hgn_minesweeperburst.wepn</t>
  </si>
  <si>
    <t>hgn_minesweeperburstcannon.wepn</t>
  </si>
  <si>
    <t>hgn_mshulldefensegun.wepn</t>
  </si>
  <si>
    <t>hgn_mshulldefensegunside.wepn</t>
  </si>
  <si>
    <t>hgn_peashooter.wepn</t>
  </si>
  <si>
    <t>hgn_pulsar.wepn</t>
  </si>
  <si>
    <t>hgn_pulsarside.wepn</t>
  </si>
  <si>
    <t>hgn_rapidfirekineticautogun.wepn</t>
  </si>
  <si>
    <t>hgn_smallemp.wepn</t>
  </si>
  <si>
    <t>hgn_smallempburst.wepn</t>
  </si>
  <si>
    <t>hgn_tanishulldefensegun.wepn</t>
  </si>
  <si>
    <t>hgn_torpedolauncher.wepn</t>
  </si>
  <si>
    <t>hgn_torpedolauncherturret.wepn</t>
  </si>
  <si>
    <t>hgn_transporthulldefensegun.wepn</t>
  </si>
  <si>
    <t>hgn_vulcankineticturret.wepn</t>
  </si>
  <si>
    <t>hgn_vulcankineticturretheavy.wepn</t>
  </si>
  <si>
    <t>hgn_vulcankineticturretlongrange.wepn</t>
  </si>
  <si>
    <t>hgn_vulcankineticturretsuperheavy.wepn</t>
  </si>
  <si>
    <t>hgn_vulcankineticturretweak.wepn</t>
  </si>
  <si>
    <t>vgr_antishipbomblauncher.wepn</t>
  </si>
  <si>
    <t>vgr_antisubsystembomblauncher.wepn</t>
  </si>
  <si>
    <t>vgr_battlecruiserflechettecannon.wepn</t>
  </si>
  <si>
    <t>vgr_battlecruiserheavygun.wepn</t>
  </si>
  <si>
    <t>vgr_bcforwardweapon.wepn</t>
  </si>
  <si>
    <t>vgr_bclaser.wepn</t>
  </si>
  <si>
    <t>vgr_bomblauncher.wepn</t>
  </si>
  <si>
    <t>vgr_burstcannonburst.wepn</t>
  </si>
  <si>
    <t>vgr_concussionmissilelauncher.wepn</t>
  </si>
  <si>
    <t>vgr_flechettecannon.wepn</t>
  </si>
  <si>
    <t>vgr_flechettecannonassaultfrigatebottom.wepn</t>
  </si>
  <si>
    <t>vgr_flechettecannonassaultfrigateleft.wepn</t>
  </si>
  <si>
    <t>vgr_flechettecannonassaultfrigateright.wepn</t>
  </si>
  <si>
    <t>vgr_flechettecannondestroyer.wepn</t>
  </si>
  <si>
    <t>vgr_flechettecannondreadnaught.wepn</t>
  </si>
  <si>
    <t>vgr_flechettecannoninfiltratorfrigate.wepn</t>
  </si>
  <si>
    <t>vgr_flechetterepeater.wepn</t>
  </si>
  <si>
    <t>vgr_fusionmissilelauncher.wepn</t>
  </si>
  <si>
    <t>vgr_heavyconcussionmissilelauncher.wepn</t>
  </si>
  <si>
    <t>vgr_heavyflechetterepeater.wepn</t>
  </si>
  <si>
    <t>vgr_heavyfusionmissilelauncher.wepn</t>
  </si>
  <si>
    <t>vgr_heavyfusionmissilelauncherbc.wepn</t>
  </si>
  <si>
    <t>vgr_heavyfusionmissilelauncherturret.wepn</t>
  </si>
  <si>
    <t>vgr_heavyfusionmissilelauncherweak.wepn</t>
  </si>
  <si>
    <t>vgr_heavyplasmalance.wepn</t>
  </si>
  <si>
    <t>vgr_hulldefensegun.wepn</t>
  </si>
  <si>
    <t>vgr_infiltrationpodlauncher.wepn</t>
  </si>
  <si>
    <t>vgr_laser.wepn</t>
  </si>
  <si>
    <t>vgr_lightplasmalance.wepn</t>
  </si>
  <si>
    <t>vgr_lightplasmalanceturret.wepn</t>
  </si>
  <si>
    <t>vgr_minelayer.wepn</t>
  </si>
  <si>
    <t>vgr_minelayercannon.wepn</t>
  </si>
  <si>
    <t>vgr_minesweeperburst.wepn</t>
  </si>
  <si>
    <t>vgr_minesweeperburstcannon.wepn</t>
  </si>
  <si>
    <t>vgr_plasmadrivercannon.wepn</t>
  </si>
  <si>
    <t>vgr_pulsar.wepn</t>
  </si>
  <si>
    <t>vgr_smallemp.wepn</t>
  </si>
  <si>
    <t>vgr_smallempburst.wepn</t>
  </si>
  <si>
    <t>vgr_smallmissileburst.wepn</t>
  </si>
  <si>
    <t>vgr_sunshattermissilelauncher.wepn</t>
  </si>
  <si>
    <t>vgr_vulcankineticturretlongrange.wepn</t>
  </si>
  <si>
    <t>hgn_mshulldefensegun2.wepn</t>
  </si>
  <si>
    <t>kus_assaultbomb.wepn</t>
  </si>
  <si>
    <t>kus_assaultgun.wepn</t>
  </si>
  <si>
    <t>kus_cloakedfighter.wepn</t>
  </si>
  <si>
    <t>kus_cruisergun1.wepn</t>
  </si>
  <si>
    <t>kus_cruisergun2.wepn</t>
  </si>
  <si>
    <t>kus_cruisergun3.wepn</t>
  </si>
  <si>
    <t>kus_cruiserion.wepn</t>
  </si>
  <si>
    <t>kus_defender.wepn</t>
  </si>
  <si>
    <t>kus_destroyergun.wepn</t>
  </si>
  <si>
    <t>kus_destroyerion1.wepn</t>
  </si>
  <si>
    <t>kus_destroyerion2.wepn</t>
  </si>
  <si>
    <t>kus_destroyerlauncher.wepn</t>
  </si>
  <si>
    <t>kus_destroyerlaunchervolley.wepn</t>
  </si>
  <si>
    <t>kus_drone.wepn</t>
  </si>
  <si>
    <t>kus_dronefrigate.wepn</t>
  </si>
  <si>
    <t>kus_hvcorvette1.wepn</t>
  </si>
  <si>
    <t>kus_hvcorvette2.wepn</t>
  </si>
  <si>
    <t>kus_hvcorvette_special1.wepn</t>
  </si>
  <si>
    <t>kus_hvcorvette_special2.wepn</t>
  </si>
  <si>
    <t>kus_hvcorvette_specialburst.wepn</t>
  </si>
  <si>
    <t>kus_ioncannon.wepn</t>
  </si>
  <si>
    <t>kus_ltcorvette.wepn</t>
  </si>
  <si>
    <t>kus_minelayer.wepn</t>
  </si>
  <si>
    <t>kus_multigun1.wepn</t>
  </si>
  <si>
    <t>kus_multigun2.wepn</t>
  </si>
  <si>
    <t>kus_repairgun.wepn</t>
  </si>
  <si>
    <t>kus_repairgunheal.wepn</t>
  </si>
  <si>
    <t>kus_supportgun.wepn</t>
  </si>
  <si>
    <t>kus_supportgunheal.wepn</t>
  </si>
  <si>
    <t>tai_assaultbomb.wepn</t>
  </si>
  <si>
    <t>tai_assaultgun1.wepn</t>
  </si>
  <si>
    <t>tai_assaultgun2.wepn</t>
  </si>
  <si>
    <t>tai_cruisergun1.wepn</t>
  </si>
  <si>
    <t>tai_cruisergun2.wepn</t>
  </si>
  <si>
    <t>tai_cruisergun3.wepn</t>
  </si>
  <si>
    <t>tai_cruiserion.wepn</t>
  </si>
  <si>
    <t>tai_defender.wepn</t>
  </si>
  <si>
    <t>tai_defenselaser.wepn</t>
  </si>
  <si>
    <t>tai_destroyergun.wepn</t>
  </si>
  <si>
    <t>tai_destroyerion.wepn</t>
  </si>
  <si>
    <t>tai_destroyerlauncher.wepn</t>
  </si>
  <si>
    <t>tai_destroyerlaunchervolley.wepn</t>
  </si>
  <si>
    <t>tai_hvcorvette1.wepn</t>
  </si>
  <si>
    <t>tai_hvcorvette2.wepn</t>
  </si>
  <si>
    <t>tai_hvcorvette_special1.wepn</t>
  </si>
  <si>
    <t>tai_hvcorvette_special2.wepn</t>
  </si>
  <si>
    <t>tai_hvcorvette_specialburst.wepn</t>
  </si>
  <si>
    <t>tai_ioncannon.wepn</t>
  </si>
  <si>
    <t>tai_ltcorvette.wepn</t>
  </si>
  <si>
    <t>tai_minelayer.wepn</t>
  </si>
  <si>
    <t>tai_multigun1.wepn</t>
  </si>
  <si>
    <t>tai_multigun2.wepn</t>
  </si>
  <si>
    <t>tai_repairgun.wepn</t>
  </si>
  <si>
    <t>tai_repairgunheal.wepn</t>
  </si>
  <si>
    <t>tai_supportgun1.wepn</t>
  </si>
  <si>
    <t>tai_supportgun1heal.wepn</t>
  </si>
  <si>
    <t>tai_supportgun2.wepn</t>
  </si>
  <si>
    <t>tai_supportgun2heal.wepn</t>
  </si>
  <si>
    <t>vgr_concussionmissilelauncherfrigate.wepn</t>
  </si>
  <si>
    <t>vgr_frigatemissileburst.wepn</t>
  </si>
  <si>
    <t>1800*1.1</t>
  </si>
  <si>
    <t>"Normal"</t>
  </si>
  <si>
    <t>"Enhanced"</t>
  </si>
  <si>
    <t>1200*1.1</t>
  </si>
  <si>
    <t>1400*1.1</t>
  </si>
  <si>
    <t>2470*1.1</t>
  </si>
  <si>
    <t>1500*1.1</t>
  </si>
  <si>
    <t>1550*1.1</t>
  </si>
  <si>
    <t>2000*1.1</t>
  </si>
  <si>
    <t>1300*1.1</t>
  </si>
  <si>
    <t>Gimble</t>
  </si>
  <si>
    <t>Bullet</t>
  </si>
  <si>
    <t>Plasma_Bomb</t>
  </si>
  <si>
    <t>Special Attack</t>
  </si>
  <si>
    <t>Hit</t>
  </si>
  <si>
    <t>DamageHealth</t>
  </si>
  <si>
    <t>Improved_Plasma_Bomb</t>
  </si>
  <si>
    <t>AnimatedTurret</t>
  </si>
  <si>
    <t>Kinetic_Large</t>
  </si>
  <si>
    <t>Normal</t>
  </si>
  <si>
    <t>InstantHit</t>
  </si>
  <si>
    <t>IonBeam_bc</t>
  </si>
  <si>
    <t>Push</t>
  </si>
  <si>
    <t>Fixed</t>
  </si>
  <si>
    <t>Missile</t>
  </si>
  <si>
    <t>Hgn_LongRangeTorpedo</t>
  </si>
  <si>
    <t>Normal Only</t>
  </si>
  <si>
    <t>SphereBurst</t>
  </si>
  <si>
    <t>ArtilleryBurst</t>
  </si>
  <si>
    <t>Hgn_ClusterTorpedoA</t>
  </si>
  <si>
    <t>IonBeam</t>
  </si>
  <si>
    <t>Hddread</t>
  </si>
  <si>
    <t>Dread_Bomb</t>
  </si>
  <si>
    <t>Super_Beam</t>
  </si>
  <si>
    <t>Kinetic_Rapid</t>
  </si>
  <si>
    <t>FlakShell</t>
  </si>
  <si>
    <t>SpawnWeaponFire</t>
  </si>
  <si>
    <t>Miss</t>
  </si>
  <si>
    <t>Mine</t>
  </si>
  <si>
    <t>Hgn_Mine</t>
  </si>
  <si>
    <t>Dropped</t>
  </si>
  <si>
    <t>Kinetic_Small</t>
  </si>
  <si>
    <t>Hgn_Minesweep</t>
  </si>
  <si>
    <t>HDefense</t>
  </si>
  <si>
    <t>Laser</t>
  </si>
  <si>
    <t>EMP</t>
  </si>
  <si>
    <t>Disable</t>
  </si>
  <si>
    <t>Hgn_Torpedo</t>
  </si>
  <si>
    <t>Vgr_Laser</t>
  </si>
  <si>
    <t>VgrBeam</t>
  </si>
  <si>
    <t>Vgr_SmallMissile</t>
  </si>
  <si>
    <t>Vgr_HeavyMissile</t>
  </si>
  <si>
    <t>Vgr_InfiltratorPod</t>
  </si>
  <si>
    <t>LatchWithTarget</t>
  </si>
  <si>
    <t>Vgr_Laser_Small</t>
  </si>
  <si>
    <t>Vgr_Mine</t>
  </si>
  <si>
    <t>HW1Kinetic_Small</t>
  </si>
  <si>
    <t>HW1Kinetic_Small_Fighter</t>
  </si>
  <si>
    <t>Kus_IonBeam</t>
  </si>
  <si>
    <t>Kus_Missile</t>
  </si>
  <si>
    <t>Kus_MissileVolley</t>
  </si>
  <si>
    <t>Kus_Mine</t>
  </si>
  <si>
    <t>HealBeam</t>
  </si>
  <si>
    <t>Tai_Missile</t>
  </si>
  <si>
    <t>Tai_MissileVolley</t>
  </si>
  <si>
    <t>Tai_Mine</t>
  </si>
  <si>
    <t>Vgr_SmallFrigateMissile</t>
  </si>
  <si>
    <t>Weapon Effects File</t>
  </si>
  <si>
    <t>Activation</t>
  </si>
  <si>
    <t>Max Effects Spawned</t>
  </si>
  <si>
    <t>Use Velocity Prediction</t>
  </si>
  <si>
    <t>Beam Pass-Thru Health</t>
  </si>
  <si>
    <t>Track Distant Targets</t>
  </si>
  <si>
    <t>?</t>
  </si>
  <si>
    <t>Condition2</t>
  </si>
  <si>
    <t>Effect2</t>
  </si>
  <si>
    <t>MinimumEffect2</t>
  </si>
  <si>
    <t>MaximumEffect2</t>
  </si>
  <si>
    <t xml:space="preserve"> "Normal"</t>
  </si>
  <si>
    <t xml:space="preserve"> "Enhanced"</t>
  </si>
  <si>
    <t>LightArmour</t>
  </si>
  <si>
    <t>MediumArmour</t>
  </si>
  <si>
    <t>Unarmoured</t>
  </si>
  <si>
    <t>HeavyArmour</t>
  </si>
  <si>
    <t>TurretArmour</t>
  </si>
  <si>
    <t>MineArmour</t>
  </si>
  <si>
    <t>ResArmour</t>
  </si>
  <si>
    <t>Unarmoured_hw1</t>
  </si>
  <si>
    <t>LightArmour_hw1</t>
  </si>
  <si>
    <t>SubSystemArmour</t>
  </si>
  <si>
    <t>Fighter_hw1</t>
  </si>
  <si>
    <t>Corvette_hw1</t>
  </si>
  <si>
    <t>SmallCapitalShip</t>
  </si>
  <si>
    <t>BigCapitalShip</t>
  </si>
  <si>
    <t>ResourceLarge</t>
  </si>
  <si>
    <t>SubSystem</t>
  </si>
  <si>
    <t>Munition</t>
  </si>
  <si>
    <t>0.118*2</t>
  </si>
  <si>
    <t>0.96*0.6</t>
  </si>
  <si>
    <t>0.96*2</t>
  </si>
  <si>
    <t>0.98*2</t>
  </si>
  <si>
    <t>0.080*2</t>
  </si>
  <si>
    <t>0.205*2</t>
  </si>
  <si>
    <t>-9.5*1.1</t>
  </si>
  <si>
    <t>-10*1.15</t>
  </si>
  <si>
    <t>vgr_concussionmissilelauncher_medium.wepn</t>
  </si>
  <si>
    <t>vgr_mediummissileburst.wepn</t>
  </si>
  <si>
    <t>32*2</t>
  </si>
  <si>
    <t>hw2</t>
  </si>
  <si>
    <t>oldhw2</t>
  </si>
  <si>
    <t>oldhwr</t>
  </si>
  <si>
    <t>7*0.8</t>
  </si>
  <si>
    <t>110*1.09</t>
  </si>
  <si>
    <t>120*1.09</t>
  </si>
  <si>
    <t>2.5*0.8</t>
  </si>
  <si>
    <t>72*0.92</t>
  </si>
  <si>
    <t>1600*1.1</t>
  </si>
  <si>
    <t>0.9*0.8</t>
  </si>
  <si>
    <t>6.5*0.85</t>
  </si>
  <si>
    <t>1700*0.93</t>
  </si>
  <si>
    <t>6.5*0.8</t>
  </si>
  <si>
    <t>850*0.93</t>
  </si>
  <si>
    <t>900*0.93</t>
  </si>
  <si>
    <t>3400*1.078</t>
  </si>
  <si>
    <t>3450*1.078</t>
  </si>
  <si>
    <t>1100/1.75</t>
  </si>
  <si>
    <t>1100/1.80</t>
  </si>
  <si>
    <t>5*2</t>
  </si>
  <si>
    <t>3*0.85</t>
  </si>
  <si>
    <t>42*2*0.93</t>
  </si>
  <si>
    <t>43*2*0.93</t>
  </si>
  <si>
    <t>2200*1.09</t>
  </si>
  <si>
    <t>3*0.9</t>
  </si>
  <si>
    <t>42*1.5*2*0.93</t>
  </si>
  <si>
    <t>43*1.5*2*0.93</t>
  </si>
  <si>
    <t>3*0.8</t>
  </si>
  <si>
    <t>42*0.8*0.93</t>
  </si>
  <si>
    <t>72*0.8</t>
  </si>
  <si>
    <t>10050*2</t>
  </si>
  <si>
    <t>400*0.93</t>
  </si>
  <si>
    <t>450*0.93</t>
  </si>
  <si>
    <t>42*0.93</t>
  </si>
  <si>
    <t>46*0.93</t>
  </si>
  <si>
    <t>70/2</t>
  </si>
  <si>
    <t>42*1.5*0.93</t>
  </si>
  <si>
    <t>46*1.5*0.93</t>
  </si>
  <si>
    <t>1520*1.1</t>
  </si>
  <si>
    <t>72*0.8/2</t>
  </si>
  <si>
    <t>0.08*3</t>
  </si>
  <si>
    <t>vgr_concussionmissilelauncherfrigateassault.wepn</t>
  </si>
  <si>
    <t>vgr_concussionmissilelauncherfrigateheavy.wepn</t>
  </si>
  <si>
    <t>vgr_frigatemissileburstheavy.wepn</t>
  </si>
  <si>
    <t>Diff?</t>
  </si>
  <si>
    <t>hw1</t>
  </si>
  <si>
    <t>Any Diff?</t>
  </si>
  <si>
    <t>DefaultPen</t>
  </si>
  <si>
    <t>Un_hw1</t>
  </si>
  <si>
    <t>Un</t>
  </si>
  <si>
    <t>Li</t>
  </si>
  <si>
    <t>Li_hw1</t>
  </si>
  <si>
    <t>DefaultAcc</t>
  </si>
  <si>
    <t>Fi_hw1</t>
  </si>
  <si>
    <t>Fi</t>
  </si>
  <si>
    <t>Co</t>
  </si>
  <si>
    <t>Co_hw1</t>
  </si>
  <si>
    <t>OK?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</si>
</sst>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1" fillId="0" borderId="0" xfId="0" applyFont="1" applyFill="1"/>
    <xf numFmtId="0" fontId="0" fillId="0" borderId="0" xfId="0" applyFill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35.42578125" customWidth="1"/>
    <col min="2" max="2" width="37.5703125" customWidth="1"/>
  </cols>
  <sheetData>
    <row r="1" spans="1:2" s="1" customFormat="1" x14ac:dyDescent="0.25">
      <c r="A1" s="1" t="s">
        <v>0</v>
      </c>
      <c r="B1" s="1" t="s">
        <v>199</v>
      </c>
    </row>
    <row r="2" spans="1:2" s="1" customFormat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37" bestFit="1" customWidth="1"/>
    <col min="2" max="2" width="7.5703125" bestFit="1" customWidth="1"/>
    <col min="3" max="3" width="10.7109375" bestFit="1" customWidth="1"/>
    <col min="4" max="4" width="10.42578125" bestFit="1" customWidth="1"/>
    <col min="5" max="5" width="11.85546875" customWidth="1"/>
    <col min="6" max="6" width="8.85546875" bestFit="1" customWidth="1"/>
    <col min="7" max="7" width="19" bestFit="1" customWidth="1"/>
    <col min="8" max="8" width="19.140625" bestFit="1" customWidth="1"/>
    <col min="9" max="9" width="19.85546875" bestFit="1" customWidth="1"/>
  </cols>
  <sheetData>
    <row r="1" spans="1:9" s="1" customFormat="1" x14ac:dyDescent="0.25">
      <c r="A1" s="1" t="s">
        <v>0</v>
      </c>
      <c r="B1" s="1" t="s">
        <v>166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192</v>
      </c>
      <c r="H1" s="1" t="s">
        <v>193</v>
      </c>
      <c r="I1" s="1" t="s">
        <v>191</v>
      </c>
    </row>
    <row r="2" spans="1:9" x14ac:dyDescent="0.25">
      <c r="A2" t="s">
        <v>5</v>
      </c>
      <c r="B2" t="s">
        <v>482</v>
      </c>
      <c r="C2">
        <v>625</v>
      </c>
      <c r="D2">
        <v>45</v>
      </c>
      <c r="E2">
        <v>400</v>
      </c>
      <c r="F2">
        <v>215</v>
      </c>
      <c r="G2">
        <v>1</v>
      </c>
      <c r="H2">
        <v>1</v>
      </c>
    </row>
    <row r="3" spans="1:9" x14ac:dyDescent="0.25">
      <c r="A3" t="s">
        <v>5</v>
      </c>
      <c r="B3" t="s">
        <v>167</v>
      </c>
      <c r="C3">
        <v>625</v>
      </c>
      <c r="D3">
        <v>45</v>
      </c>
      <c r="E3">
        <v>400</v>
      </c>
      <c r="F3">
        <v>215</v>
      </c>
      <c r="G3">
        <v>1</v>
      </c>
      <c r="H3">
        <v>1</v>
      </c>
    </row>
    <row r="4" spans="1:9" x14ac:dyDescent="0.25">
      <c r="A4" t="s">
        <v>7</v>
      </c>
      <c r="B4" t="s">
        <v>482</v>
      </c>
      <c r="C4">
        <v>500</v>
      </c>
      <c r="D4">
        <v>45</v>
      </c>
      <c r="E4">
        <v>1000</v>
      </c>
      <c r="F4">
        <v>225</v>
      </c>
      <c r="G4">
        <v>1</v>
      </c>
      <c r="H4">
        <v>1</v>
      </c>
    </row>
    <row r="5" spans="1:9" x14ac:dyDescent="0.25">
      <c r="A5" t="s">
        <v>7</v>
      </c>
      <c r="B5" t="s">
        <v>167</v>
      </c>
      <c r="C5">
        <v>500</v>
      </c>
      <c r="D5">
        <v>45</v>
      </c>
      <c r="E5">
        <v>1000</v>
      </c>
      <c r="F5">
        <v>225</v>
      </c>
      <c r="G5">
        <v>1</v>
      </c>
      <c r="H5">
        <v>1</v>
      </c>
    </row>
    <row r="6" spans="1:9" x14ac:dyDescent="0.25">
      <c r="A6" t="s">
        <v>8</v>
      </c>
      <c r="B6" t="s">
        <v>482</v>
      </c>
      <c r="C6">
        <v>700</v>
      </c>
      <c r="D6">
        <v>50</v>
      </c>
      <c r="E6">
        <v>16000</v>
      </c>
      <c r="F6">
        <v>161</v>
      </c>
      <c r="G6">
        <v>1.2</v>
      </c>
      <c r="H6">
        <v>1.2</v>
      </c>
    </row>
    <row r="7" spans="1:9" x14ac:dyDescent="0.25">
      <c r="A7" t="s">
        <v>8</v>
      </c>
      <c r="B7" t="s">
        <v>167</v>
      </c>
      <c r="C7">
        <v>700</v>
      </c>
      <c r="D7">
        <v>50</v>
      </c>
      <c r="E7">
        <v>16000</v>
      </c>
      <c r="F7">
        <v>161</v>
      </c>
      <c r="G7">
        <v>1.2</v>
      </c>
      <c r="H7">
        <v>1.2</v>
      </c>
    </row>
    <row r="8" spans="1:9" x14ac:dyDescent="0.25">
      <c r="A8" t="s">
        <v>6</v>
      </c>
      <c r="B8" t="s">
        <v>482</v>
      </c>
      <c r="C8">
        <v>550</v>
      </c>
      <c r="D8">
        <v>40</v>
      </c>
      <c r="E8">
        <v>30</v>
      </c>
      <c r="F8">
        <v>260</v>
      </c>
      <c r="G8">
        <v>1</v>
      </c>
      <c r="H8">
        <v>1</v>
      </c>
    </row>
    <row r="9" spans="1:9" x14ac:dyDescent="0.25">
      <c r="A9" t="s">
        <v>6</v>
      </c>
      <c r="B9" t="s">
        <v>167</v>
      </c>
      <c r="C9">
        <v>550</v>
      </c>
      <c r="D9">
        <v>40</v>
      </c>
      <c r="E9">
        <v>30</v>
      </c>
      <c r="F9">
        <v>260</v>
      </c>
      <c r="G9">
        <v>1</v>
      </c>
      <c r="H9">
        <v>1</v>
      </c>
    </row>
    <row r="10" spans="1:9" x14ac:dyDescent="0.25">
      <c r="A10" t="s">
        <v>9</v>
      </c>
      <c r="B10" t="s">
        <v>482</v>
      </c>
      <c r="C10">
        <v>575</v>
      </c>
      <c r="D10">
        <v>40</v>
      </c>
      <c r="E10">
        <v>90</v>
      </c>
      <c r="F10">
        <v>450</v>
      </c>
      <c r="G10">
        <v>1</v>
      </c>
      <c r="H10">
        <v>1</v>
      </c>
    </row>
    <row r="11" spans="1:9" x14ac:dyDescent="0.25">
      <c r="A11" t="s">
        <v>9</v>
      </c>
      <c r="B11" t="s">
        <v>167</v>
      </c>
      <c r="C11">
        <v>575</v>
      </c>
      <c r="D11">
        <v>40</v>
      </c>
      <c r="E11">
        <v>90</v>
      </c>
      <c r="F11">
        <v>450</v>
      </c>
      <c r="G11">
        <v>1</v>
      </c>
      <c r="H11">
        <v>1</v>
      </c>
    </row>
    <row r="12" spans="1:9" x14ac:dyDescent="0.25">
      <c r="A12" t="s">
        <v>10</v>
      </c>
      <c r="B12" t="s">
        <v>482</v>
      </c>
      <c r="C12">
        <v>4000</v>
      </c>
      <c r="D12">
        <v>280</v>
      </c>
      <c r="E12">
        <v>240000</v>
      </c>
      <c r="F12">
        <v>69</v>
      </c>
      <c r="G12">
        <v>1.2</v>
      </c>
      <c r="H12">
        <v>1.2</v>
      </c>
    </row>
    <row r="13" spans="1:9" x14ac:dyDescent="0.25">
      <c r="A13" t="s">
        <v>10</v>
      </c>
      <c r="B13" t="s">
        <v>167</v>
      </c>
      <c r="C13">
        <v>4000</v>
      </c>
      <c r="D13">
        <v>280</v>
      </c>
      <c r="E13">
        <v>240000</v>
      </c>
      <c r="F13">
        <v>69</v>
      </c>
      <c r="G13">
        <v>1.2</v>
      </c>
      <c r="H13">
        <v>1.2</v>
      </c>
    </row>
    <row r="14" spans="1:9" x14ac:dyDescent="0.25">
      <c r="A14" t="s">
        <v>11</v>
      </c>
      <c r="B14" t="s">
        <v>482</v>
      </c>
      <c r="C14">
        <v>2800</v>
      </c>
      <c r="D14">
        <v>65</v>
      </c>
      <c r="E14">
        <v>80000</v>
      </c>
      <c r="F14">
        <v>75</v>
      </c>
      <c r="G14">
        <v>1.2</v>
      </c>
      <c r="H14">
        <v>1.2</v>
      </c>
    </row>
    <row r="15" spans="1:9" x14ac:dyDescent="0.25">
      <c r="A15" t="s">
        <v>11</v>
      </c>
      <c r="B15" t="s">
        <v>167</v>
      </c>
      <c r="C15">
        <v>2800</v>
      </c>
      <c r="D15">
        <v>65</v>
      </c>
      <c r="E15">
        <v>80000</v>
      </c>
      <c r="F15">
        <v>75</v>
      </c>
      <c r="G15">
        <v>1.2</v>
      </c>
      <c r="H15">
        <v>1.2</v>
      </c>
    </row>
    <row r="16" spans="1:9" x14ac:dyDescent="0.25">
      <c r="A16" t="s">
        <v>11</v>
      </c>
      <c r="B16" t="s">
        <v>167</v>
      </c>
      <c r="C16">
        <v>2800</v>
      </c>
      <c r="D16">
        <v>65</v>
      </c>
      <c r="E16">
        <v>80000</v>
      </c>
      <c r="F16">
        <v>75</v>
      </c>
      <c r="G16">
        <v>1.2</v>
      </c>
      <c r="H16">
        <v>1.2</v>
      </c>
    </row>
    <row r="17" spans="1:8" x14ac:dyDescent="0.25">
      <c r="A17" t="s">
        <v>12</v>
      </c>
      <c r="B17" t="s">
        <v>482</v>
      </c>
      <c r="C17">
        <v>1250</v>
      </c>
      <c r="D17">
        <v>70</v>
      </c>
      <c r="E17">
        <v>18000</v>
      </c>
      <c r="F17">
        <v>161</v>
      </c>
      <c r="G17">
        <v>1.2</v>
      </c>
      <c r="H17">
        <v>1.2</v>
      </c>
    </row>
    <row r="18" spans="1:8" x14ac:dyDescent="0.25">
      <c r="A18" t="s">
        <v>12</v>
      </c>
      <c r="B18" t="s">
        <v>167</v>
      </c>
      <c r="C18">
        <v>1250</v>
      </c>
      <c r="D18">
        <v>70</v>
      </c>
      <c r="E18">
        <v>18000</v>
      </c>
      <c r="F18">
        <v>161</v>
      </c>
      <c r="G18">
        <v>1.2</v>
      </c>
      <c r="H18">
        <v>1.2</v>
      </c>
    </row>
    <row r="19" spans="1:8" x14ac:dyDescent="0.25">
      <c r="A19" t="s">
        <v>13</v>
      </c>
      <c r="B19" t="s">
        <v>482</v>
      </c>
      <c r="C19">
        <v>2000</v>
      </c>
      <c r="D19">
        <v>165</v>
      </c>
      <c r="E19">
        <v>85000</v>
      </c>
      <c r="F19">
        <v>115</v>
      </c>
      <c r="G19">
        <v>1</v>
      </c>
      <c r="H19">
        <v>1.2</v>
      </c>
    </row>
    <row r="20" spans="1:8" x14ac:dyDescent="0.25">
      <c r="A20" t="s">
        <v>13</v>
      </c>
      <c r="B20" t="s">
        <v>167</v>
      </c>
      <c r="C20">
        <v>2000</v>
      </c>
      <c r="D20">
        <v>165</v>
      </c>
      <c r="E20">
        <v>85000</v>
      </c>
      <c r="F20">
        <v>115</v>
      </c>
      <c r="G20">
        <v>1</v>
      </c>
      <c r="H20">
        <v>1.2</v>
      </c>
    </row>
    <row r="21" spans="1:8" x14ac:dyDescent="0.25">
      <c r="A21" t="s">
        <v>14</v>
      </c>
      <c r="B21" t="s">
        <v>482</v>
      </c>
      <c r="C21">
        <v>1500</v>
      </c>
      <c r="D21">
        <v>1</v>
      </c>
      <c r="E21">
        <v>500000</v>
      </c>
      <c r="F21">
        <v>69</v>
      </c>
      <c r="G21">
        <v>1.2</v>
      </c>
      <c r="H21">
        <v>1.2</v>
      </c>
    </row>
    <row r="22" spans="1:8" x14ac:dyDescent="0.25">
      <c r="A22" t="s">
        <v>14</v>
      </c>
      <c r="B22" t="s">
        <v>167</v>
      </c>
      <c r="C22">
        <v>1500</v>
      </c>
      <c r="D22">
        <v>1</v>
      </c>
      <c r="E22">
        <v>500000</v>
      </c>
      <c r="F22">
        <v>69</v>
      </c>
      <c r="G22">
        <v>1.2</v>
      </c>
      <c r="H22">
        <v>1.2</v>
      </c>
    </row>
    <row r="23" spans="1:8" x14ac:dyDescent="0.25">
      <c r="A23" t="s">
        <v>15</v>
      </c>
      <c r="B23" t="s">
        <v>482</v>
      </c>
      <c r="C23">
        <v>700</v>
      </c>
      <c r="D23">
        <v>55</v>
      </c>
      <c r="E23">
        <v>4000</v>
      </c>
      <c r="F23">
        <v>161</v>
      </c>
      <c r="G23">
        <v>1.2</v>
      </c>
      <c r="H23">
        <v>1.2</v>
      </c>
    </row>
    <row r="24" spans="1:8" x14ac:dyDescent="0.25">
      <c r="A24" t="s">
        <v>15</v>
      </c>
      <c r="B24" t="s">
        <v>167</v>
      </c>
      <c r="C24">
        <v>700</v>
      </c>
      <c r="D24">
        <v>55</v>
      </c>
      <c r="E24">
        <v>4000</v>
      </c>
      <c r="F24">
        <v>161</v>
      </c>
      <c r="G24">
        <v>1.2</v>
      </c>
      <c r="H24">
        <v>1.2</v>
      </c>
    </row>
    <row r="25" spans="1:8" x14ac:dyDescent="0.25">
      <c r="A25" t="s">
        <v>16</v>
      </c>
      <c r="B25" t="s">
        <v>482</v>
      </c>
      <c r="C25">
        <v>700</v>
      </c>
      <c r="D25">
        <v>55</v>
      </c>
      <c r="E25">
        <v>4000</v>
      </c>
      <c r="F25">
        <v>161</v>
      </c>
      <c r="G25">
        <v>1.2</v>
      </c>
      <c r="H25">
        <v>1.2</v>
      </c>
    </row>
    <row r="26" spans="1:8" x14ac:dyDescent="0.25">
      <c r="A26" t="s">
        <v>16</v>
      </c>
      <c r="B26" t="s">
        <v>167</v>
      </c>
      <c r="C26">
        <v>700</v>
      </c>
      <c r="D26">
        <v>55</v>
      </c>
      <c r="E26">
        <v>4000</v>
      </c>
      <c r="F26">
        <v>161</v>
      </c>
      <c r="G26">
        <v>1.2</v>
      </c>
      <c r="H26">
        <v>1.2</v>
      </c>
    </row>
    <row r="27" spans="1:8" x14ac:dyDescent="0.25">
      <c r="A27" t="s">
        <v>17</v>
      </c>
      <c r="B27" t="s">
        <v>482</v>
      </c>
      <c r="C27">
        <v>700</v>
      </c>
      <c r="D27">
        <v>55</v>
      </c>
      <c r="E27">
        <v>4000</v>
      </c>
      <c r="F27">
        <v>230</v>
      </c>
      <c r="G27">
        <v>1.2</v>
      </c>
      <c r="H27">
        <v>1.2</v>
      </c>
    </row>
    <row r="28" spans="1:8" x14ac:dyDescent="0.25">
      <c r="A28" t="s">
        <v>17</v>
      </c>
      <c r="B28" t="s">
        <v>167</v>
      </c>
      <c r="C28">
        <v>700</v>
      </c>
      <c r="D28">
        <v>55</v>
      </c>
      <c r="E28">
        <v>4000</v>
      </c>
      <c r="F28">
        <v>230</v>
      </c>
      <c r="G28">
        <v>1.2</v>
      </c>
      <c r="H28">
        <v>1.2</v>
      </c>
    </row>
    <row r="29" spans="1:8" x14ac:dyDescent="0.25">
      <c r="A29" t="s">
        <v>18</v>
      </c>
      <c r="B29" t="s">
        <v>482</v>
      </c>
      <c r="C29">
        <v>600</v>
      </c>
      <c r="D29">
        <v>30</v>
      </c>
      <c r="E29">
        <v>100</v>
      </c>
      <c r="F29">
        <v>600</v>
      </c>
      <c r="G29">
        <v>1</v>
      </c>
      <c r="H29">
        <v>1</v>
      </c>
    </row>
    <row r="30" spans="1:8" x14ac:dyDescent="0.25">
      <c r="A30" t="s">
        <v>18</v>
      </c>
      <c r="B30" t="s">
        <v>167</v>
      </c>
      <c r="C30">
        <v>600</v>
      </c>
      <c r="D30">
        <v>30</v>
      </c>
      <c r="E30">
        <v>100</v>
      </c>
      <c r="F30">
        <v>600</v>
      </c>
      <c r="G30">
        <v>1</v>
      </c>
      <c r="H30">
        <v>1</v>
      </c>
    </row>
    <row r="31" spans="1:8" x14ac:dyDescent="0.25">
      <c r="A31" t="s">
        <v>19</v>
      </c>
      <c r="B31" t="s">
        <v>482</v>
      </c>
      <c r="C31">
        <v>300</v>
      </c>
      <c r="D31">
        <v>20</v>
      </c>
      <c r="E31">
        <v>5000</v>
      </c>
      <c r="F31">
        <v>125</v>
      </c>
      <c r="G31">
        <v>1</v>
      </c>
      <c r="H31">
        <v>1</v>
      </c>
    </row>
    <row r="32" spans="1:8" x14ac:dyDescent="0.25">
      <c r="A32" t="s">
        <v>19</v>
      </c>
      <c r="B32" t="s">
        <v>167</v>
      </c>
      <c r="C32">
        <v>300</v>
      </c>
      <c r="D32">
        <v>20</v>
      </c>
      <c r="E32">
        <v>5000</v>
      </c>
      <c r="F32">
        <v>125</v>
      </c>
      <c r="G32">
        <v>1</v>
      </c>
      <c r="H32">
        <v>1</v>
      </c>
    </row>
    <row r="33" spans="1:9" x14ac:dyDescent="0.25">
      <c r="A33" t="s">
        <v>20</v>
      </c>
      <c r="B33" t="s">
        <v>482</v>
      </c>
      <c r="E33">
        <v>10</v>
      </c>
      <c r="F33">
        <v>250</v>
      </c>
      <c r="G33">
        <v>1</v>
      </c>
      <c r="H33">
        <v>1</v>
      </c>
    </row>
    <row r="34" spans="1:9" x14ac:dyDescent="0.25">
      <c r="A34" t="s">
        <v>20</v>
      </c>
      <c r="B34" t="s">
        <v>167</v>
      </c>
      <c r="E34">
        <v>10</v>
      </c>
      <c r="F34">
        <v>250</v>
      </c>
      <c r="G34">
        <v>1</v>
      </c>
      <c r="H34">
        <v>1</v>
      </c>
    </row>
    <row r="35" spans="1:9" x14ac:dyDescent="0.25">
      <c r="A35" t="s">
        <v>21</v>
      </c>
      <c r="B35" t="s">
        <v>482</v>
      </c>
      <c r="C35">
        <v>500</v>
      </c>
      <c r="D35">
        <v>35</v>
      </c>
      <c r="E35">
        <v>30</v>
      </c>
      <c r="F35">
        <v>325</v>
      </c>
      <c r="G35">
        <v>1</v>
      </c>
      <c r="H35">
        <v>1</v>
      </c>
    </row>
    <row r="36" spans="1:9" x14ac:dyDescent="0.25">
      <c r="A36" t="s">
        <v>21</v>
      </c>
      <c r="B36" t="s">
        <v>167</v>
      </c>
      <c r="C36">
        <v>500</v>
      </c>
      <c r="D36">
        <v>35</v>
      </c>
      <c r="E36">
        <v>30</v>
      </c>
      <c r="F36" s="2">
        <v>320</v>
      </c>
      <c r="G36">
        <v>1</v>
      </c>
      <c r="H36">
        <v>1</v>
      </c>
    </row>
    <row r="37" spans="1:9" x14ac:dyDescent="0.25">
      <c r="A37" t="s">
        <v>22</v>
      </c>
      <c r="B37" t="s">
        <v>482</v>
      </c>
      <c r="C37">
        <v>700</v>
      </c>
      <c r="D37">
        <v>45</v>
      </c>
      <c r="E37">
        <v>16000</v>
      </c>
      <c r="F37">
        <v>150</v>
      </c>
      <c r="G37">
        <v>1.2</v>
      </c>
      <c r="H37">
        <v>1.2</v>
      </c>
    </row>
    <row r="38" spans="1:9" x14ac:dyDescent="0.25">
      <c r="A38" t="s">
        <v>22</v>
      </c>
      <c r="B38" t="s">
        <v>167</v>
      </c>
      <c r="C38">
        <v>700</v>
      </c>
      <c r="D38">
        <v>45</v>
      </c>
      <c r="E38">
        <v>16000</v>
      </c>
      <c r="F38">
        <v>150</v>
      </c>
      <c r="G38">
        <v>1.2</v>
      </c>
      <c r="H38">
        <v>1.2</v>
      </c>
    </row>
    <row r="39" spans="1:9" x14ac:dyDescent="0.25">
      <c r="A39" t="s">
        <v>23</v>
      </c>
      <c r="B39" t="s">
        <v>482</v>
      </c>
      <c r="C39">
        <v>300</v>
      </c>
      <c r="D39">
        <v>20</v>
      </c>
      <c r="E39">
        <v>5000</v>
      </c>
      <c r="F39">
        <v>125</v>
      </c>
      <c r="G39">
        <v>1</v>
      </c>
      <c r="H39">
        <v>1</v>
      </c>
    </row>
    <row r="40" spans="1:9" x14ac:dyDescent="0.25">
      <c r="A40" t="s">
        <v>23</v>
      </c>
      <c r="B40" t="s">
        <v>167</v>
      </c>
      <c r="C40">
        <v>300</v>
      </c>
      <c r="D40">
        <v>20</v>
      </c>
      <c r="E40">
        <v>5000</v>
      </c>
      <c r="F40">
        <v>125</v>
      </c>
      <c r="G40">
        <v>1</v>
      </c>
      <c r="H40">
        <v>1</v>
      </c>
    </row>
    <row r="41" spans="1:9" x14ac:dyDescent="0.25">
      <c r="A41" t="s">
        <v>24</v>
      </c>
      <c r="B41" t="s">
        <v>482</v>
      </c>
      <c r="C41">
        <v>700</v>
      </c>
      <c r="D41">
        <v>50</v>
      </c>
      <c r="E41">
        <v>20000</v>
      </c>
      <c r="F41">
        <v>230</v>
      </c>
      <c r="G41">
        <v>1.2</v>
      </c>
      <c r="H41">
        <v>1.2</v>
      </c>
    </row>
    <row r="42" spans="1:9" x14ac:dyDescent="0.25">
      <c r="A42" t="s">
        <v>24</v>
      </c>
      <c r="B42" t="s">
        <v>167</v>
      </c>
      <c r="C42">
        <v>700</v>
      </c>
      <c r="D42">
        <v>50</v>
      </c>
      <c r="E42">
        <v>20000</v>
      </c>
      <c r="F42">
        <v>230</v>
      </c>
      <c r="G42">
        <v>1.2</v>
      </c>
      <c r="H42">
        <v>1.2</v>
      </c>
    </row>
    <row r="43" spans="1:9" x14ac:dyDescent="0.25">
      <c r="A43" t="s">
        <v>25</v>
      </c>
      <c r="B43" t="s">
        <v>482</v>
      </c>
      <c r="C43">
        <v>700</v>
      </c>
      <c r="D43">
        <v>55</v>
      </c>
      <c r="E43">
        <v>50000</v>
      </c>
      <c r="F43">
        <v>230</v>
      </c>
      <c r="G43">
        <v>1.2</v>
      </c>
      <c r="H43">
        <v>1.2</v>
      </c>
    </row>
    <row r="44" spans="1:9" x14ac:dyDescent="0.25">
      <c r="A44" t="s">
        <v>25</v>
      </c>
      <c r="B44" t="s">
        <v>167</v>
      </c>
      <c r="C44">
        <v>700</v>
      </c>
      <c r="D44">
        <v>55</v>
      </c>
      <c r="E44">
        <v>50000</v>
      </c>
      <c r="F44">
        <v>230</v>
      </c>
      <c r="G44">
        <v>1.2</v>
      </c>
      <c r="H44">
        <v>1.2</v>
      </c>
    </row>
    <row r="45" spans="1:9" x14ac:dyDescent="0.25">
      <c r="A45" t="s">
        <v>26</v>
      </c>
      <c r="B45" t="s">
        <v>482</v>
      </c>
      <c r="C45">
        <v>800</v>
      </c>
      <c r="D45">
        <v>45</v>
      </c>
      <c r="E45">
        <v>400</v>
      </c>
      <c r="F45">
        <v>215</v>
      </c>
      <c r="G45">
        <v>1</v>
      </c>
      <c r="H45">
        <v>1</v>
      </c>
    </row>
    <row r="46" spans="1:9" x14ac:dyDescent="0.25">
      <c r="A46" t="s">
        <v>26</v>
      </c>
      <c r="B46" t="s">
        <v>167</v>
      </c>
      <c r="C46">
        <v>800</v>
      </c>
      <c r="D46">
        <v>45</v>
      </c>
      <c r="E46">
        <v>400</v>
      </c>
      <c r="F46">
        <v>215</v>
      </c>
      <c r="G46">
        <v>1</v>
      </c>
      <c r="H46">
        <v>1</v>
      </c>
    </row>
    <row r="47" spans="1:9" x14ac:dyDescent="0.25">
      <c r="A47" t="s">
        <v>27</v>
      </c>
      <c r="B47" t="s">
        <v>482</v>
      </c>
      <c r="C47">
        <v>8000</v>
      </c>
      <c r="D47">
        <v>1</v>
      </c>
      <c r="E47">
        <v>200000</v>
      </c>
      <c r="F47">
        <v>40</v>
      </c>
      <c r="G47">
        <v>1</v>
      </c>
      <c r="H47">
        <v>1</v>
      </c>
    </row>
    <row r="48" spans="1:9" x14ac:dyDescent="0.25">
      <c r="A48" t="s">
        <v>27</v>
      </c>
      <c r="B48" t="s">
        <v>167</v>
      </c>
      <c r="C48">
        <v>8000</v>
      </c>
      <c r="D48">
        <v>1</v>
      </c>
      <c r="E48" s="2" t="s">
        <v>168</v>
      </c>
      <c r="F48">
        <v>40</v>
      </c>
      <c r="G48" s="2">
        <v>0.85</v>
      </c>
      <c r="H48" s="2">
        <v>0.85</v>
      </c>
      <c r="I48" s="2">
        <v>0.8</v>
      </c>
    </row>
    <row r="49" spans="1:9" x14ac:dyDescent="0.25">
      <c r="A49" t="s">
        <v>28</v>
      </c>
      <c r="B49" t="s">
        <v>482</v>
      </c>
      <c r="C49">
        <v>150</v>
      </c>
      <c r="D49">
        <v>15</v>
      </c>
      <c r="E49">
        <v>100</v>
      </c>
      <c r="F49">
        <v>600</v>
      </c>
      <c r="G49">
        <v>1</v>
      </c>
      <c r="H49">
        <v>1</v>
      </c>
    </row>
    <row r="50" spans="1:9" x14ac:dyDescent="0.25">
      <c r="A50" t="s">
        <v>28</v>
      </c>
      <c r="B50" t="s">
        <v>167</v>
      </c>
      <c r="C50">
        <v>150</v>
      </c>
      <c r="D50">
        <v>15</v>
      </c>
      <c r="E50">
        <v>100</v>
      </c>
      <c r="F50">
        <v>600</v>
      </c>
      <c r="G50">
        <v>1</v>
      </c>
      <c r="H50">
        <v>1</v>
      </c>
    </row>
    <row r="51" spans="1:9" x14ac:dyDescent="0.25">
      <c r="A51" t="s">
        <v>29</v>
      </c>
      <c r="B51" t="s">
        <v>482</v>
      </c>
      <c r="C51">
        <v>250</v>
      </c>
      <c r="D51">
        <v>15</v>
      </c>
      <c r="E51">
        <v>100</v>
      </c>
      <c r="F51">
        <v>600</v>
      </c>
      <c r="G51">
        <v>1</v>
      </c>
      <c r="H51">
        <v>1</v>
      </c>
    </row>
    <row r="52" spans="1:9" x14ac:dyDescent="0.25">
      <c r="A52" t="s">
        <v>29</v>
      </c>
      <c r="B52" t="s">
        <v>167</v>
      </c>
      <c r="C52">
        <v>250</v>
      </c>
      <c r="D52">
        <v>15</v>
      </c>
      <c r="E52">
        <v>100</v>
      </c>
      <c r="F52">
        <v>600</v>
      </c>
      <c r="G52">
        <v>1</v>
      </c>
      <c r="H52">
        <v>1</v>
      </c>
    </row>
    <row r="53" spans="1:9" x14ac:dyDescent="0.25">
      <c r="A53" t="s">
        <v>30</v>
      </c>
      <c r="B53" t="s">
        <v>482</v>
      </c>
      <c r="C53">
        <v>625</v>
      </c>
      <c r="D53">
        <v>45</v>
      </c>
      <c r="E53">
        <v>400</v>
      </c>
      <c r="F53">
        <v>215</v>
      </c>
      <c r="G53">
        <v>1</v>
      </c>
      <c r="H53">
        <v>1</v>
      </c>
    </row>
    <row r="54" spans="1:9" x14ac:dyDescent="0.25">
      <c r="A54" t="s">
        <v>30</v>
      </c>
      <c r="B54" t="s">
        <v>167</v>
      </c>
      <c r="C54">
        <v>625</v>
      </c>
      <c r="D54">
        <v>45</v>
      </c>
      <c r="E54">
        <v>400</v>
      </c>
      <c r="F54">
        <v>215</v>
      </c>
      <c r="G54">
        <v>1</v>
      </c>
      <c r="H54">
        <v>1</v>
      </c>
    </row>
    <row r="55" spans="1:9" x14ac:dyDescent="0.25">
      <c r="A55" t="s">
        <v>31</v>
      </c>
      <c r="B55" t="s">
        <v>482</v>
      </c>
      <c r="C55">
        <v>400</v>
      </c>
      <c r="D55">
        <v>30</v>
      </c>
      <c r="E55">
        <v>2000</v>
      </c>
      <c r="F55">
        <v>276</v>
      </c>
      <c r="G55">
        <v>1</v>
      </c>
      <c r="H55">
        <v>1</v>
      </c>
    </row>
    <row r="56" spans="1:9" x14ac:dyDescent="0.25">
      <c r="A56" t="s">
        <v>31</v>
      </c>
      <c r="B56" t="s">
        <v>167</v>
      </c>
      <c r="C56">
        <v>400</v>
      </c>
      <c r="D56">
        <v>30</v>
      </c>
      <c r="E56">
        <v>2000</v>
      </c>
      <c r="F56">
        <v>276</v>
      </c>
      <c r="G56">
        <v>1</v>
      </c>
      <c r="H56">
        <v>1</v>
      </c>
    </row>
    <row r="57" spans="1:9" x14ac:dyDescent="0.25">
      <c r="A57" t="s">
        <v>32</v>
      </c>
      <c r="B57" t="s">
        <v>482</v>
      </c>
      <c r="C57">
        <v>800</v>
      </c>
      <c r="D57">
        <v>45</v>
      </c>
      <c r="E57">
        <v>18000</v>
      </c>
      <c r="F57">
        <v>225</v>
      </c>
      <c r="G57">
        <v>1</v>
      </c>
      <c r="H57">
        <v>1</v>
      </c>
    </row>
    <row r="58" spans="1:9" x14ac:dyDescent="0.25">
      <c r="A58" t="s">
        <v>32</v>
      </c>
      <c r="B58" t="s">
        <v>167</v>
      </c>
      <c r="C58">
        <v>800</v>
      </c>
      <c r="D58">
        <v>45</v>
      </c>
      <c r="E58">
        <v>18000</v>
      </c>
      <c r="F58">
        <v>225</v>
      </c>
      <c r="G58">
        <v>1</v>
      </c>
      <c r="H58">
        <v>1</v>
      </c>
    </row>
    <row r="59" spans="1:9" x14ac:dyDescent="0.25">
      <c r="A59" t="s">
        <v>33</v>
      </c>
      <c r="B59" t="s">
        <v>482</v>
      </c>
      <c r="C59">
        <v>350</v>
      </c>
      <c r="D59">
        <v>20</v>
      </c>
      <c r="E59">
        <v>30</v>
      </c>
      <c r="F59">
        <v>480</v>
      </c>
      <c r="G59">
        <v>1</v>
      </c>
      <c r="H59">
        <v>1</v>
      </c>
    </row>
    <row r="60" spans="1:9" x14ac:dyDescent="0.25">
      <c r="A60" t="s">
        <v>33</v>
      </c>
      <c r="B60" t="s">
        <v>167</v>
      </c>
      <c r="C60">
        <v>350</v>
      </c>
      <c r="D60">
        <v>20</v>
      </c>
      <c r="E60">
        <v>30</v>
      </c>
      <c r="F60" s="2">
        <v>460</v>
      </c>
      <c r="G60">
        <v>1</v>
      </c>
      <c r="H60">
        <v>1</v>
      </c>
    </row>
    <row r="61" spans="1:9" x14ac:dyDescent="0.25">
      <c r="A61" t="s">
        <v>34</v>
      </c>
      <c r="B61" t="s">
        <v>482</v>
      </c>
      <c r="C61">
        <v>3500</v>
      </c>
      <c r="D61">
        <v>75</v>
      </c>
      <c r="E61">
        <v>150000</v>
      </c>
      <c r="F61">
        <v>15</v>
      </c>
      <c r="G61">
        <v>1</v>
      </c>
      <c r="H61">
        <v>1</v>
      </c>
    </row>
    <row r="62" spans="1:9" x14ac:dyDescent="0.25">
      <c r="A62" t="s">
        <v>34</v>
      </c>
      <c r="B62" t="s">
        <v>167</v>
      </c>
      <c r="C62">
        <v>3500</v>
      </c>
      <c r="D62">
        <v>75</v>
      </c>
      <c r="E62" s="2">
        <v>175000</v>
      </c>
      <c r="F62">
        <v>15</v>
      </c>
      <c r="G62" s="2">
        <v>0.85</v>
      </c>
      <c r="H62" s="2">
        <v>0.85</v>
      </c>
      <c r="I62" s="2">
        <v>0.85</v>
      </c>
    </row>
    <row r="63" spans="1:9" x14ac:dyDescent="0.25">
      <c r="A63" t="s">
        <v>35</v>
      </c>
      <c r="B63" t="s">
        <v>482</v>
      </c>
      <c r="C63">
        <v>3200</v>
      </c>
      <c r="D63">
        <v>70</v>
      </c>
      <c r="E63">
        <v>200000</v>
      </c>
      <c r="F63">
        <v>15</v>
      </c>
      <c r="G63">
        <v>1</v>
      </c>
      <c r="H63">
        <v>1</v>
      </c>
    </row>
    <row r="64" spans="1:9" x14ac:dyDescent="0.25">
      <c r="A64" t="s">
        <v>35</v>
      </c>
      <c r="B64" t="s">
        <v>167</v>
      </c>
      <c r="C64">
        <v>3200</v>
      </c>
      <c r="D64">
        <v>70</v>
      </c>
      <c r="E64">
        <v>200000</v>
      </c>
      <c r="F64">
        <v>15</v>
      </c>
      <c r="G64">
        <v>1</v>
      </c>
      <c r="H64">
        <v>1</v>
      </c>
    </row>
    <row r="65" spans="1:9" x14ac:dyDescent="0.25">
      <c r="A65" t="s">
        <v>36</v>
      </c>
      <c r="B65" t="s">
        <v>482</v>
      </c>
      <c r="C65">
        <v>3200</v>
      </c>
      <c r="D65">
        <v>70</v>
      </c>
      <c r="E65">
        <v>200000</v>
      </c>
      <c r="F65">
        <v>15</v>
      </c>
      <c r="G65">
        <v>1</v>
      </c>
      <c r="H65">
        <v>1</v>
      </c>
    </row>
    <row r="66" spans="1:9" x14ac:dyDescent="0.25">
      <c r="A66" t="s">
        <v>36</v>
      </c>
      <c r="B66" t="s">
        <v>167</v>
      </c>
      <c r="C66">
        <v>3200</v>
      </c>
      <c r="D66">
        <v>70</v>
      </c>
      <c r="E66">
        <v>200000</v>
      </c>
      <c r="F66">
        <v>15</v>
      </c>
      <c r="G66">
        <v>1</v>
      </c>
      <c r="H66">
        <v>1</v>
      </c>
    </row>
    <row r="67" spans="1:9" x14ac:dyDescent="0.25">
      <c r="A67" t="s">
        <v>37</v>
      </c>
      <c r="B67" t="s">
        <v>482</v>
      </c>
      <c r="C67">
        <v>150</v>
      </c>
      <c r="D67">
        <v>15</v>
      </c>
      <c r="E67">
        <v>100</v>
      </c>
      <c r="F67">
        <v>600</v>
      </c>
      <c r="G67">
        <v>1</v>
      </c>
      <c r="H67">
        <v>1</v>
      </c>
    </row>
    <row r="68" spans="1:9" x14ac:dyDescent="0.25">
      <c r="A68" t="s">
        <v>37</v>
      </c>
      <c r="B68" t="s">
        <v>167</v>
      </c>
      <c r="C68">
        <v>150</v>
      </c>
      <c r="D68">
        <v>15</v>
      </c>
      <c r="E68">
        <v>100</v>
      </c>
      <c r="F68">
        <v>600</v>
      </c>
      <c r="G68">
        <v>1</v>
      </c>
      <c r="H68">
        <v>1</v>
      </c>
    </row>
    <row r="69" spans="1:9" x14ac:dyDescent="0.25">
      <c r="A69" t="s">
        <v>38</v>
      </c>
      <c r="B69" t="s">
        <v>482</v>
      </c>
      <c r="C69">
        <v>700</v>
      </c>
      <c r="D69">
        <v>55</v>
      </c>
      <c r="E69">
        <v>12000</v>
      </c>
      <c r="F69">
        <v>161</v>
      </c>
      <c r="G69">
        <v>1.2</v>
      </c>
      <c r="H69">
        <v>1.2</v>
      </c>
    </row>
    <row r="70" spans="1:9" x14ac:dyDescent="0.25">
      <c r="A70" t="s">
        <v>38</v>
      </c>
      <c r="B70" t="s">
        <v>167</v>
      </c>
      <c r="C70">
        <v>700</v>
      </c>
      <c r="D70">
        <v>55</v>
      </c>
      <c r="E70">
        <v>12000</v>
      </c>
      <c r="F70">
        <v>161</v>
      </c>
      <c r="G70">
        <v>1.2</v>
      </c>
      <c r="H70">
        <v>1.2</v>
      </c>
    </row>
    <row r="71" spans="1:9" x14ac:dyDescent="0.25">
      <c r="A71" t="s">
        <v>68</v>
      </c>
      <c r="B71" t="s">
        <v>167</v>
      </c>
      <c r="C71">
        <v>270</v>
      </c>
      <c r="D71">
        <v>18</v>
      </c>
      <c r="E71" t="s">
        <v>169</v>
      </c>
      <c r="F71">
        <v>190</v>
      </c>
      <c r="G71">
        <v>1</v>
      </c>
      <c r="H71">
        <v>1</v>
      </c>
    </row>
    <row r="72" spans="1:9" x14ac:dyDescent="0.25">
      <c r="A72" t="s">
        <v>69</v>
      </c>
      <c r="B72" t="s">
        <v>167</v>
      </c>
      <c r="C72">
        <v>800</v>
      </c>
      <c r="D72">
        <v>68</v>
      </c>
      <c r="E72">
        <v>16000</v>
      </c>
      <c r="F72">
        <v>140</v>
      </c>
      <c r="G72">
        <v>1.2</v>
      </c>
      <c r="H72">
        <v>1.2</v>
      </c>
    </row>
    <row r="73" spans="1:9" x14ac:dyDescent="0.25">
      <c r="A73" t="s">
        <v>70</v>
      </c>
      <c r="B73" t="s">
        <v>167</v>
      </c>
      <c r="C73" t="s">
        <v>171</v>
      </c>
      <c r="D73" t="s">
        <v>172</v>
      </c>
      <c r="E73" t="s">
        <v>170</v>
      </c>
      <c r="F73">
        <v>260</v>
      </c>
      <c r="G73">
        <v>0.98</v>
      </c>
      <c r="H73">
        <v>0.96</v>
      </c>
    </row>
    <row r="74" spans="1:9" x14ac:dyDescent="0.25">
      <c r="A74" t="s">
        <v>71</v>
      </c>
      <c r="B74" t="s">
        <v>167</v>
      </c>
      <c r="C74">
        <v>3000</v>
      </c>
      <c r="D74">
        <v>210</v>
      </c>
      <c r="E74">
        <v>85000</v>
      </c>
      <c r="F74">
        <v>90</v>
      </c>
      <c r="G74">
        <v>1.1000000000000001</v>
      </c>
      <c r="H74">
        <v>1.1000000000000001</v>
      </c>
    </row>
    <row r="75" spans="1:9" x14ac:dyDescent="0.25">
      <c r="A75" t="s">
        <v>72</v>
      </c>
      <c r="B75" t="s">
        <v>167</v>
      </c>
      <c r="C75">
        <v>130</v>
      </c>
      <c r="D75">
        <v>10</v>
      </c>
      <c r="E75" t="s">
        <v>173</v>
      </c>
      <c r="F75">
        <v>270</v>
      </c>
      <c r="G75">
        <v>1</v>
      </c>
      <c r="H75">
        <v>1</v>
      </c>
    </row>
    <row r="76" spans="1:9" x14ac:dyDescent="0.25">
      <c r="A76" t="s">
        <v>73</v>
      </c>
      <c r="B76" t="s">
        <v>167</v>
      </c>
      <c r="C76">
        <v>800</v>
      </c>
      <c r="D76">
        <v>60</v>
      </c>
      <c r="E76">
        <v>9000</v>
      </c>
      <c r="F76">
        <v>114</v>
      </c>
      <c r="G76">
        <v>1.2</v>
      </c>
      <c r="H76">
        <v>1.2</v>
      </c>
    </row>
    <row r="77" spans="1:9" x14ac:dyDescent="0.25">
      <c r="A77" t="s">
        <v>74</v>
      </c>
      <c r="B77" t="s">
        <v>167</v>
      </c>
      <c r="E77">
        <v>18000</v>
      </c>
      <c r="F77">
        <v>210</v>
      </c>
      <c r="G77">
        <v>1</v>
      </c>
      <c r="H77">
        <v>1</v>
      </c>
    </row>
    <row r="78" spans="1:9" x14ac:dyDescent="0.25">
      <c r="A78" t="s">
        <v>75</v>
      </c>
      <c r="B78" t="s">
        <v>167</v>
      </c>
      <c r="E78">
        <v>18000</v>
      </c>
      <c r="F78">
        <v>210</v>
      </c>
      <c r="G78">
        <v>1</v>
      </c>
      <c r="H78">
        <v>1</v>
      </c>
    </row>
    <row r="79" spans="1:9" x14ac:dyDescent="0.25">
      <c r="A79" t="s">
        <v>76</v>
      </c>
      <c r="B79" t="s">
        <v>167</v>
      </c>
      <c r="C79">
        <v>120</v>
      </c>
      <c r="D79">
        <v>9</v>
      </c>
      <c r="E79" t="s">
        <v>174</v>
      </c>
      <c r="F79">
        <v>140</v>
      </c>
      <c r="G79">
        <v>0.7</v>
      </c>
      <c r="H79">
        <v>0.75</v>
      </c>
      <c r="I79">
        <v>0.65</v>
      </c>
    </row>
    <row r="80" spans="1:9" x14ac:dyDescent="0.25">
      <c r="A80" t="s">
        <v>77</v>
      </c>
      <c r="B80" t="s">
        <v>167</v>
      </c>
      <c r="C80">
        <v>1800</v>
      </c>
      <c r="D80">
        <v>178</v>
      </c>
      <c r="E80">
        <v>90000</v>
      </c>
      <c r="F80">
        <v>110</v>
      </c>
      <c r="G80">
        <v>1</v>
      </c>
      <c r="H80">
        <v>1</v>
      </c>
    </row>
    <row r="81" spans="1:8" x14ac:dyDescent="0.25">
      <c r="A81" t="s">
        <v>78</v>
      </c>
      <c r="B81" t="s">
        <v>167</v>
      </c>
      <c r="C81">
        <v>1</v>
      </c>
      <c r="D81">
        <v>1</v>
      </c>
      <c r="E81">
        <v>25</v>
      </c>
      <c r="F81">
        <v>210</v>
      </c>
      <c r="G81">
        <v>1</v>
      </c>
      <c r="H81">
        <v>1</v>
      </c>
    </row>
    <row r="82" spans="1:8" x14ac:dyDescent="0.25">
      <c r="A82" t="s">
        <v>79</v>
      </c>
      <c r="B82" t="s">
        <v>167</v>
      </c>
      <c r="C82">
        <v>1</v>
      </c>
      <c r="D82">
        <v>1</v>
      </c>
      <c r="E82">
        <v>25</v>
      </c>
      <c r="F82">
        <v>210</v>
      </c>
      <c r="G82">
        <v>1</v>
      </c>
      <c r="H82">
        <v>1</v>
      </c>
    </row>
    <row r="83" spans="1:8" x14ac:dyDescent="0.25">
      <c r="A83" t="s">
        <v>80</v>
      </c>
      <c r="B83" t="s">
        <v>167</v>
      </c>
      <c r="C83">
        <v>1</v>
      </c>
      <c r="D83">
        <v>1</v>
      </c>
      <c r="E83">
        <v>25</v>
      </c>
      <c r="F83">
        <v>210</v>
      </c>
      <c r="G83">
        <v>1</v>
      </c>
      <c r="H83">
        <v>1</v>
      </c>
    </row>
    <row r="84" spans="1:8" x14ac:dyDescent="0.25">
      <c r="A84" t="s">
        <v>81</v>
      </c>
      <c r="B84" t="s">
        <v>167</v>
      </c>
      <c r="C84">
        <v>1</v>
      </c>
      <c r="D84">
        <v>1</v>
      </c>
      <c r="E84">
        <v>25</v>
      </c>
      <c r="F84">
        <v>210</v>
      </c>
      <c r="G84">
        <v>1</v>
      </c>
      <c r="H84">
        <v>1</v>
      </c>
    </row>
    <row r="85" spans="1:8" x14ac:dyDescent="0.25">
      <c r="A85" t="s">
        <v>82</v>
      </c>
      <c r="B85" t="s">
        <v>167</v>
      </c>
      <c r="C85">
        <v>1</v>
      </c>
      <c r="D85">
        <v>1</v>
      </c>
      <c r="E85">
        <v>25</v>
      </c>
      <c r="F85">
        <v>210</v>
      </c>
      <c r="G85">
        <v>1</v>
      </c>
      <c r="H85">
        <v>1</v>
      </c>
    </row>
    <row r="86" spans="1:8" x14ac:dyDescent="0.25">
      <c r="A86" t="s">
        <v>83</v>
      </c>
      <c r="B86" t="s">
        <v>167</v>
      </c>
      <c r="C86">
        <v>1</v>
      </c>
      <c r="D86">
        <v>1</v>
      </c>
      <c r="E86">
        <v>25</v>
      </c>
      <c r="F86">
        <v>210</v>
      </c>
      <c r="G86">
        <v>1</v>
      </c>
      <c r="H86">
        <v>1</v>
      </c>
    </row>
    <row r="87" spans="1:8" x14ac:dyDescent="0.25">
      <c r="A87" t="s">
        <v>84</v>
      </c>
      <c r="B87" t="s">
        <v>167</v>
      </c>
      <c r="C87">
        <v>1</v>
      </c>
      <c r="D87">
        <v>1</v>
      </c>
      <c r="E87">
        <v>25</v>
      </c>
      <c r="F87">
        <v>210</v>
      </c>
      <c r="G87">
        <v>1</v>
      </c>
      <c r="H87">
        <v>1</v>
      </c>
    </row>
    <row r="88" spans="1:8" x14ac:dyDescent="0.25">
      <c r="A88" t="s">
        <v>85</v>
      </c>
      <c r="B88" t="s">
        <v>167</v>
      </c>
      <c r="C88">
        <v>1</v>
      </c>
      <c r="D88">
        <v>1</v>
      </c>
      <c r="E88">
        <v>25</v>
      </c>
      <c r="F88">
        <v>210</v>
      </c>
      <c r="G88">
        <v>1</v>
      </c>
      <c r="H88">
        <v>1</v>
      </c>
    </row>
    <row r="89" spans="1:8" x14ac:dyDescent="0.25">
      <c r="A89" t="s">
        <v>86</v>
      </c>
      <c r="B89" t="s">
        <v>167</v>
      </c>
      <c r="C89">
        <v>1</v>
      </c>
      <c r="D89">
        <v>1</v>
      </c>
      <c r="E89">
        <v>25</v>
      </c>
      <c r="F89">
        <v>210</v>
      </c>
      <c r="G89">
        <v>1</v>
      </c>
      <c r="H89">
        <v>1</v>
      </c>
    </row>
    <row r="90" spans="1:8" x14ac:dyDescent="0.25">
      <c r="A90" t="s">
        <v>87</v>
      </c>
      <c r="B90" t="s">
        <v>167</v>
      </c>
      <c r="C90">
        <v>1</v>
      </c>
      <c r="D90">
        <v>1</v>
      </c>
      <c r="E90">
        <v>25</v>
      </c>
      <c r="F90">
        <v>210</v>
      </c>
      <c r="G90">
        <v>1</v>
      </c>
      <c r="H90">
        <v>1</v>
      </c>
    </row>
    <row r="91" spans="1:8" x14ac:dyDescent="0.25">
      <c r="A91" t="s">
        <v>88</v>
      </c>
      <c r="B91" t="s">
        <v>167</v>
      </c>
      <c r="C91">
        <v>1</v>
      </c>
      <c r="D91">
        <v>1</v>
      </c>
      <c r="E91">
        <v>25</v>
      </c>
      <c r="F91">
        <v>210</v>
      </c>
      <c r="G91">
        <v>1</v>
      </c>
      <c r="H91">
        <v>1</v>
      </c>
    </row>
    <row r="92" spans="1:8" x14ac:dyDescent="0.25">
      <c r="A92" t="s">
        <v>89</v>
      </c>
      <c r="B92" t="s">
        <v>167</v>
      </c>
      <c r="C92">
        <v>1</v>
      </c>
      <c r="D92">
        <v>1</v>
      </c>
      <c r="E92">
        <v>25</v>
      </c>
      <c r="F92">
        <v>210</v>
      </c>
      <c r="G92">
        <v>1</v>
      </c>
      <c r="H92">
        <v>1</v>
      </c>
    </row>
    <row r="93" spans="1:8" x14ac:dyDescent="0.25">
      <c r="A93" t="s">
        <v>90</v>
      </c>
      <c r="B93" t="s">
        <v>167</v>
      </c>
      <c r="C93">
        <v>1</v>
      </c>
      <c r="D93">
        <v>1</v>
      </c>
      <c r="E93">
        <v>25</v>
      </c>
      <c r="F93">
        <v>210</v>
      </c>
      <c r="G93">
        <v>1</v>
      </c>
      <c r="H93">
        <v>1</v>
      </c>
    </row>
    <row r="94" spans="1:8" x14ac:dyDescent="0.25">
      <c r="A94" t="s">
        <v>91</v>
      </c>
      <c r="B94" t="s">
        <v>167</v>
      </c>
      <c r="C94">
        <v>1</v>
      </c>
      <c r="D94">
        <v>1</v>
      </c>
      <c r="E94">
        <v>25</v>
      </c>
      <c r="F94">
        <v>210</v>
      </c>
      <c r="G94">
        <v>1</v>
      </c>
      <c r="H94">
        <v>1</v>
      </c>
    </row>
    <row r="95" spans="1:8" x14ac:dyDescent="0.25">
      <c r="A95" t="s">
        <v>92</v>
      </c>
      <c r="B95" t="s">
        <v>167</v>
      </c>
      <c r="C95">
        <v>900</v>
      </c>
      <c r="D95">
        <v>77</v>
      </c>
      <c r="E95">
        <v>18000</v>
      </c>
      <c r="F95">
        <v>120</v>
      </c>
      <c r="G95">
        <v>0.85</v>
      </c>
      <c r="H95">
        <v>1.05</v>
      </c>
    </row>
    <row r="96" spans="1:8" x14ac:dyDescent="0.25">
      <c r="A96" t="s">
        <v>93</v>
      </c>
      <c r="B96" t="s">
        <v>167</v>
      </c>
      <c r="C96">
        <v>800</v>
      </c>
      <c r="D96">
        <v>60</v>
      </c>
      <c r="E96">
        <v>12000</v>
      </c>
      <c r="F96">
        <v>114</v>
      </c>
      <c r="G96">
        <v>1.1000000000000001</v>
      </c>
      <c r="H96">
        <v>1.1000000000000001</v>
      </c>
    </row>
    <row r="97" spans="1:9" x14ac:dyDescent="0.25">
      <c r="A97" t="s">
        <v>94</v>
      </c>
      <c r="B97" t="s">
        <v>167</v>
      </c>
      <c r="E97">
        <v>450000</v>
      </c>
      <c r="F97">
        <v>350</v>
      </c>
      <c r="G97">
        <v>1</v>
      </c>
      <c r="H97">
        <v>1</v>
      </c>
    </row>
    <row r="98" spans="1:9" x14ac:dyDescent="0.25">
      <c r="A98" t="s">
        <v>95</v>
      </c>
      <c r="B98" t="s">
        <v>167</v>
      </c>
      <c r="C98">
        <v>270</v>
      </c>
      <c r="D98">
        <v>18</v>
      </c>
      <c r="E98" t="s">
        <v>175</v>
      </c>
      <c r="F98">
        <v>190</v>
      </c>
      <c r="G98">
        <v>1</v>
      </c>
      <c r="H98">
        <v>1</v>
      </c>
    </row>
    <row r="99" spans="1:9" x14ac:dyDescent="0.25">
      <c r="A99" t="s">
        <v>96</v>
      </c>
      <c r="B99" t="s">
        <v>167</v>
      </c>
      <c r="C99">
        <v>3600</v>
      </c>
      <c r="D99">
        <v>293</v>
      </c>
      <c r="E99" t="s">
        <v>176</v>
      </c>
      <c r="F99">
        <v>90</v>
      </c>
      <c r="G99">
        <v>1</v>
      </c>
      <c r="H99">
        <v>1</v>
      </c>
    </row>
    <row r="100" spans="1:9" x14ac:dyDescent="0.25">
      <c r="A100" t="s">
        <v>97</v>
      </c>
      <c r="B100" t="s">
        <v>167</v>
      </c>
      <c r="C100" t="s">
        <v>178</v>
      </c>
      <c r="D100" t="s">
        <v>179</v>
      </c>
      <c r="E100" t="s">
        <v>177</v>
      </c>
      <c r="F100">
        <v>310</v>
      </c>
      <c r="G100">
        <v>0.98</v>
      </c>
      <c r="H100">
        <v>0.96</v>
      </c>
    </row>
    <row r="101" spans="1:9" x14ac:dyDescent="0.25">
      <c r="A101" t="s">
        <v>98</v>
      </c>
      <c r="B101" t="s">
        <v>167</v>
      </c>
      <c r="C101">
        <v>900</v>
      </c>
      <c r="D101">
        <v>73</v>
      </c>
      <c r="E101">
        <v>17000</v>
      </c>
      <c r="F101">
        <v>130</v>
      </c>
      <c r="G101">
        <v>1.2</v>
      </c>
      <c r="H101">
        <v>1.2</v>
      </c>
    </row>
    <row r="102" spans="1:9" x14ac:dyDescent="0.25">
      <c r="A102" t="s">
        <v>99</v>
      </c>
      <c r="B102" t="s">
        <v>167</v>
      </c>
      <c r="C102" t="s">
        <v>181</v>
      </c>
      <c r="D102" t="s">
        <v>182</v>
      </c>
      <c r="E102" t="s">
        <v>180</v>
      </c>
      <c r="F102">
        <v>205</v>
      </c>
      <c r="G102">
        <v>1</v>
      </c>
      <c r="H102">
        <v>1</v>
      </c>
    </row>
    <row r="103" spans="1:9" x14ac:dyDescent="0.25">
      <c r="A103" t="s">
        <v>100</v>
      </c>
      <c r="B103" t="s">
        <v>167</v>
      </c>
      <c r="C103">
        <v>340</v>
      </c>
      <c r="D103">
        <v>27</v>
      </c>
      <c r="E103">
        <v>600</v>
      </c>
      <c r="F103">
        <v>170</v>
      </c>
      <c r="G103">
        <v>0.8</v>
      </c>
      <c r="H103">
        <v>0.8</v>
      </c>
      <c r="I103">
        <v>0.8</v>
      </c>
    </row>
    <row r="104" spans="1:9" x14ac:dyDescent="0.25">
      <c r="A104" t="s">
        <v>101</v>
      </c>
      <c r="B104" t="s">
        <v>167</v>
      </c>
      <c r="C104">
        <v>2000</v>
      </c>
      <c r="D104">
        <v>185</v>
      </c>
      <c r="E104">
        <v>90000</v>
      </c>
      <c r="F104">
        <v>100</v>
      </c>
      <c r="G104">
        <v>1</v>
      </c>
      <c r="H104">
        <v>1</v>
      </c>
    </row>
    <row r="105" spans="1:9" x14ac:dyDescent="0.25">
      <c r="A105" t="s">
        <v>102</v>
      </c>
      <c r="B105" t="s">
        <v>167</v>
      </c>
      <c r="C105">
        <v>8000</v>
      </c>
      <c r="D105">
        <v>300</v>
      </c>
      <c r="E105" t="s">
        <v>183</v>
      </c>
      <c r="F105">
        <v>40</v>
      </c>
      <c r="G105">
        <v>0.85</v>
      </c>
      <c r="H105">
        <v>0.85</v>
      </c>
      <c r="I105">
        <v>0.8</v>
      </c>
    </row>
    <row r="106" spans="1:9" x14ac:dyDescent="0.25">
      <c r="A106" t="s">
        <v>103</v>
      </c>
      <c r="B106" t="s">
        <v>167</v>
      </c>
      <c r="C106">
        <v>300</v>
      </c>
      <c r="D106">
        <v>24</v>
      </c>
      <c r="E106" t="s">
        <v>184</v>
      </c>
      <c r="F106">
        <v>180</v>
      </c>
      <c r="G106">
        <v>1</v>
      </c>
      <c r="H106">
        <v>1</v>
      </c>
    </row>
    <row r="107" spans="1:9" x14ac:dyDescent="0.25">
      <c r="A107" t="s">
        <v>104</v>
      </c>
      <c r="B107" t="s">
        <v>167</v>
      </c>
      <c r="C107">
        <v>50</v>
      </c>
      <c r="D107">
        <v>15</v>
      </c>
      <c r="E107">
        <v>100</v>
      </c>
      <c r="F107">
        <v>600</v>
      </c>
      <c r="G107">
        <v>1</v>
      </c>
      <c r="H107">
        <v>1</v>
      </c>
    </row>
    <row r="108" spans="1:9" x14ac:dyDescent="0.25">
      <c r="A108" t="s">
        <v>105</v>
      </c>
      <c r="B108" t="s">
        <v>167</v>
      </c>
      <c r="C108">
        <v>100</v>
      </c>
      <c r="D108">
        <v>20</v>
      </c>
      <c r="E108">
        <v>100</v>
      </c>
      <c r="F108">
        <v>350</v>
      </c>
      <c r="G108">
        <v>1</v>
      </c>
      <c r="H108">
        <v>1</v>
      </c>
    </row>
    <row r="109" spans="1:9" x14ac:dyDescent="0.25">
      <c r="A109" t="s">
        <v>106</v>
      </c>
      <c r="B109" t="s">
        <v>167</v>
      </c>
      <c r="C109">
        <v>250</v>
      </c>
      <c r="D109">
        <v>35</v>
      </c>
      <c r="E109">
        <v>600</v>
      </c>
      <c r="F109">
        <v>160</v>
      </c>
      <c r="G109">
        <v>0.85</v>
      </c>
      <c r="H109">
        <v>0.85</v>
      </c>
    </row>
    <row r="110" spans="1:9" x14ac:dyDescent="0.25">
      <c r="A110" t="s">
        <v>107</v>
      </c>
      <c r="B110" t="s">
        <v>167</v>
      </c>
      <c r="C110">
        <v>750</v>
      </c>
      <c r="D110">
        <v>60</v>
      </c>
      <c r="E110">
        <v>10000</v>
      </c>
      <c r="F110">
        <v>100</v>
      </c>
      <c r="G110">
        <v>0.75</v>
      </c>
      <c r="H110">
        <v>0.75</v>
      </c>
    </row>
    <row r="111" spans="1:9" x14ac:dyDescent="0.25">
      <c r="A111" t="s">
        <v>108</v>
      </c>
      <c r="B111" t="s">
        <v>167</v>
      </c>
      <c r="C111">
        <v>750</v>
      </c>
      <c r="D111">
        <v>64</v>
      </c>
      <c r="E111">
        <v>10000</v>
      </c>
      <c r="F111">
        <v>100</v>
      </c>
      <c r="G111">
        <v>0.75</v>
      </c>
      <c r="H111">
        <v>0.75</v>
      </c>
    </row>
    <row r="112" spans="1:9" x14ac:dyDescent="0.25">
      <c r="A112" t="s">
        <v>109</v>
      </c>
      <c r="B112" t="s">
        <v>167</v>
      </c>
      <c r="C112">
        <v>750</v>
      </c>
      <c r="D112">
        <v>68</v>
      </c>
      <c r="E112">
        <v>10000</v>
      </c>
      <c r="F112">
        <v>100</v>
      </c>
      <c r="G112">
        <v>0.75</v>
      </c>
      <c r="H112">
        <v>0.75</v>
      </c>
    </row>
    <row r="113" spans="1:9" x14ac:dyDescent="0.25">
      <c r="A113" t="s">
        <v>110</v>
      </c>
      <c r="B113" t="s">
        <v>167</v>
      </c>
      <c r="C113">
        <v>750</v>
      </c>
      <c r="D113">
        <v>72</v>
      </c>
      <c r="E113">
        <v>10000</v>
      </c>
      <c r="F113">
        <v>100</v>
      </c>
      <c r="G113">
        <v>0.75</v>
      </c>
      <c r="H113">
        <v>0.75</v>
      </c>
    </row>
    <row r="114" spans="1:9" x14ac:dyDescent="0.25">
      <c r="A114" t="s">
        <v>111</v>
      </c>
      <c r="B114" t="s">
        <v>167</v>
      </c>
      <c r="C114">
        <v>750</v>
      </c>
      <c r="D114">
        <v>76</v>
      </c>
      <c r="E114">
        <v>10000</v>
      </c>
      <c r="F114">
        <v>100</v>
      </c>
      <c r="G114">
        <v>0.75</v>
      </c>
      <c r="H114">
        <v>0.75</v>
      </c>
    </row>
    <row r="115" spans="1:9" x14ac:dyDescent="0.25">
      <c r="A115" t="s">
        <v>112</v>
      </c>
      <c r="B115" t="s">
        <v>167</v>
      </c>
      <c r="C115">
        <v>750</v>
      </c>
      <c r="D115">
        <v>80</v>
      </c>
      <c r="E115">
        <v>10000</v>
      </c>
      <c r="F115">
        <v>100</v>
      </c>
      <c r="G115">
        <v>0.75</v>
      </c>
      <c r="H115">
        <v>0.75</v>
      </c>
    </row>
    <row r="116" spans="1:9" x14ac:dyDescent="0.25">
      <c r="A116" t="s">
        <v>113</v>
      </c>
      <c r="B116" t="s">
        <v>167</v>
      </c>
      <c r="C116">
        <v>600</v>
      </c>
      <c r="D116">
        <v>60</v>
      </c>
      <c r="E116">
        <v>6000</v>
      </c>
      <c r="F116">
        <v>110</v>
      </c>
      <c r="G116">
        <v>0.8</v>
      </c>
      <c r="H116">
        <v>0.9</v>
      </c>
      <c r="I116">
        <v>0.9</v>
      </c>
    </row>
    <row r="117" spans="1:9" x14ac:dyDescent="0.25">
      <c r="A117" t="s">
        <v>114</v>
      </c>
      <c r="B117" t="s">
        <v>167</v>
      </c>
      <c r="C117">
        <v>900</v>
      </c>
      <c r="D117">
        <v>70</v>
      </c>
      <c r="E117">
        <v>25000</v>
      </c>
      <c r="F117">
        <v>100</v>
      </c>
      <c r="G117">
        <v>0.9</v>
      </c>
      <c r="H117">
        <v>1</v>
      </c>
      <c r="I117">
        <v>1</v>
      </c>
    </row>
    <row r="118" spans="1:9" x14ac:dyDescent="0.25">
      <c r="A118" t="s">
        <v>115</v>
      </c>
      <c r="B118" t="s">
        <v>167</v>
      </c>
      <c r="C118">
        <v>250</v>
      </c>
      <c r="D118">
        <v>35</v>
      </c>
      <c r="E118">
        <v>900</v>
      </c>
      <c r="F118">
        <v>150</v>
      </c>
      <c r="G118">
        <v>1</v>
      </c>
      <c r="H118">
        <v>1</v>
      </c>
    </row>
    <row r="119" spans="1:9" x14ac:dyDescent="0.25">
      <c r="A119" t="s">
        <v>116</v>
      </c>
      <c r="B119" t="s">
        <v>167</v>
      </c>
      <c r="C119">
        <v>90</v>
      </c>
      <c r="D119">
        <v>6</v>
      </c>
      <c r="E119" t="s">
        <v>177</v>
      </c>
      <c r="F119">
        <v>400</v>
      </c>
      <c r="G119">
        <v>1</v>
      </c>
      <c r="H119">
        <v>1</v>
      </c>
    </row>
    <row r="120" spans="1:9" x14ac:dyDescent="0.25">
      <c r="A120" t="s">
        <v>117</v>
      </c>
      <c r="B120" t="s">
        <v>167</v>
      </c>
      <c r="C120">
        <v>700</v>
      </c>
      <c r="D120">
        <v>70</v>
      </c>
      <c r="E120">
        <v>8000</v>
      </c>
      <c r="F120">
        <v>90</v>
      </c>
      <c r="G120">
        <v>1</v>
      </c>
      <c r="H120">
        <v>1</v>
      </c>
    </row>
    <row r="121" spans="1:9" x14ac:dyDescent="0.25">
      <c r="A121" t="s">
        <v>118</v>
      </c>
      <c r="B121" t="s">
        <v>167</v>
      </c>
      <c r="C121">
        <v>800</v>
      </c>
      <c r="D121">
        <v>85</v>
      </c>
      <c r="E121">
        <v>20000</v>
      </c>
      <c r="F121">
        <v>175</v>
      </c>
      <c r="G121">
        <v>1</v>
      </c>
      <c r="H121">
        <v>1</v>
      </c>
    </row>
    <row r="122" spans="1:9" x14ac:dyDescent="0.25">
      <c r="A122" t="s">
        <v>119</v>
      </c>
      <c r="B122" t="s">
        <v>167</v>
      </c>
      <c r="C122">
        <v>1</v>
      </c>
      <c r="D122">
        <v>1</v>
      </c>
      <c r="E122">
        <v>38</v>
      </c>
      <c r="F122">
        <v>228</v>
      </c>
      <c r="G122">
        <v>1</v>
      </c>
      <c r="H122">
        <v>1</v>
      </c>
    </row>
    <row r="123" spans="1:9" x14ac:dyDescent="0.25">
      <c r="A123" t="s">
        <v>120</v>
      </c>
      <c r="B123" t="s">
        <v>167</v>
      </c>
      <c r="C123">
        <v>800</v>
      </c>
      <c r="D123">
        <v>68</v>
      </c>
      <c r="E123">
        <v>16000</v>
      </c>
      <c r="F123">
        <v>140</v>
      </c>
      <c r="G123">
        <v>1.2</v>
      </c>
      <c r="H123">
        <v>1.2</v>
      </c>
    </row>
    <row r="124" spans="1:9" x14ac:dyDescent="0.25">
      <c r="A124" t="s">
        <v>121</v>
      </c>
      <c r="B124" t="s">
        <v>167</v>
      </c>
      <c r="C124" t="s">
        <v>171</v>
      </c>
      <c r="D124" t="s">
        <v>172</v>
      </c>
      <c r="E124" t="s">
        <v>170</v>
      </c>
      <c r="F124">
        <v>260</v>
      </c>
      <c r="G124">
        <v>0.98</v>
      </c>
      <c r="H124">
        <v>0.96</v>
      </c>
    </row>
    <row r="125" spans="1:9" x14ac:dyDescent="0.25">
      <c r="A125" t="s">
        <v>122</v>
      </c>
      <c r="B125" t="s">
        <v>167</v>
      </c>
      <c r="C125">
        <v>3000</v>
      </c>
      <c r="D125">
        <v>210</v>
      </c>
      <c r="E125">
        <v>85000</v>
      </c>
      <c r="F125">
        <v>90</v>
      </c>
      <c r="G125">
        <v>1.1000000000000001</v>
      </c>
      <c r="H125">
        <v>1.1000000000000001</v>
      </c>
    </row>
    <row r="126" spans="1:9" x14ac:dyDescent="0.25">
      <c r="A126" t="s">
        <v>123</v>
      </c>
      <c r="B126" t="s">
        <v>167</v>
      </c>
      <c r="C126">
        <v>800</v>
      </c>
      <c r="D126">
        <v>60</v>
      </c>
      <c r="E126">
        <v>9000</v>
      </c>
      <c r="F126">
        <v>114</v>
      </c>
      <c r="G126">
        <v>1.2</v>
      </c>
      <c r="H126">
        <v>1.2</v>
      </c>
    </row>
    <row r="127" spans="1:9" x14ac:dyDescent="0.25">
      <c r="A127" t="s">
        <v>124</v>
      </c>
      <c r="B127" t="s">
        <v>167</v>
      </c>
      <c r="C127">
        <v>120</v>
      </c>
      <c r="D127">
        <v>9</v>
      </c>
      <c r="E127" t="s">
        <v>174</v>
      </c>
      <c r="F127">
        <v>140</v>
      </c>
      <c r="G127">
        <v>0.7</v>
      </c>
      <c r="H127">
        <v>0.75</v>
      </c>
      <c r="I127">
        <v>0.65</v>
      </c>
    </row>
    <row r="128" spans="1:9" x14ac:dyDescent="0.25">
      <c r="A128" t="s">
        <v>125</v>
      </c>
      <c r="B128" t="s">
        <v>167</v>
      </c>
      <c r="C128">
        <v>130</v>
      </c>
      <c r="D128">
        <v>10</v>
      </c>
      <c r="E128" t="s">
        <v>185</v>
      </c>
      <c r="F128">
        <v>315</v>
      </c>
      <c r="G128">
        <v>0.8</v>
      </c>
      <c r="H128">
        <v>0.8</v>
      </c>
      <c r="I128">
        <v>0.8</v>
      </c>
    </row>
    <row r="129" spans="1:9" x14ac:dyDescent="0.25">
      <c r="A129" t="s">
        <v>126</v>
      </c>
      <c r="B129" t="s">
        <v>167</v>
      </c>
      <c r="C129">
        <v>1800</v>
      </c>
      <c r="D129">
        <v>178</v>
      </c>
      <c r="E129">
        <v>90000</v>
      </c>
      <c r="F129">
        <v>110</v>
      </c>
      <c r="G129">
        <v>1</v>
      </c>
      <c r="H129">
        <v>1</v>
      </c>
    </row>
    <row r="130" spans="1:9" x14ac:dyDescent="0.25">
      <c r="A130" t="s">
        <v>127</v>
      </c>
      <c r="B130" t="s">
        <v>167</v>
      </c>
      <c r="C130">
        <v>900</v>
      </c>
      <c r="D130">
        <v>77</v>
      </c>
      <c r="E130">
        <v>18000</v>
      </c>
      <c r="F130">
        <v>130</v>
      </c>
      <c r="G130">
        <v>0.8</v>
      </c>
      <c r="H130">
        <v>0.8</v>
      </c>
      <c r="I130">
        <v>0.7</v>
      </c>
    </row>
    <row r="131" spans="1:9" x14ac:dyDescent="0.25">
      <c r="A131" t="s">
        <v>128</v>
      </c>
      <c r="B131" t="s">
        <v>167</v>
      </c>
      <c r="C131">
        <v>3000</v>
      </c>
      <c r="D131">
        <v>600</v>
      </c>
      <c r="E131">
        <v>70000</v>
      </c>
      <c r="F131">
        <v>0</v>
      </c>
      <c r="G131">
        <v>1</v>
      </c>
      <c r="H131">
        <v>1.2</v>
      </c>
    </row>
    <row r="132" spans="1:9" x14ac:dyDescent="0.25">
      <c r="A132" t="s">
        <v>129</v>
      </c>
      <c r="B132" t="s">
        <v>167</v>
      </c>
      <c r="C132">
        <v>1</v>
      </c>
      <c r="D132">
        <v>1</v>
      </c>
      <c r="E132">
        <v>70000</v>
      </c>
      <c r="F132">
        <v>0</v>
      </c>
      <c r="G132">
        <v>0.01</v>
      </c>
      <c r="H132">
        <v>0.01</v>
      </c>
    </row>
    <row r="133" spans="1:9" x14ac:dyDescent="0.25">
      <c r="A133" t="s">
        <v>130</v>
      </c>
      <c r="B133" t="s">
        <v>167</v>
      </c>
      <c r="C133">
        <v>1</v>
      </c>
      <c r="D133">
        <v>1</v>
      </c>
      <c r="E133">
        <v>75000</v>
      </c>
      <c r="F133">
        <v>0</v>
      </c>
      <c r="G133">
        <v>0.5</v>
      </c>
      <c r="H133">
        <v>0.5</v>
      </c>
    </row>
    <row r="134" spans="1:9" x14ac:dyDescent="0.25">
      <c r="A134" t="s">
        <v>131</v>
      </c>
      <c r="B134" t="s">
        <v>167</v>
      </c>
      <c r="C134">
        <v>1</v>
      </c>
      <c r="D134">
        <v>1</v>
      </c>
      <c r="E134">
        <v>75000</v>
      </c>
      <c r="F134">
        <v>0</v>
      </c>
      <c r="G134">
        <v>0.5</v>
      </c>
      <c r="H134">
        <v>0.5</v>
      </c>
    </row>
    <row r="135" spans="1:9" x14ac:dyDescent="0.25">
      <c r="A135" t="s">
        <v>132</v>
      </c>
      <c r="B135" t="s">
        <v>167</v>
      </c>
      <c r="C135">
        <v>1</v>
      </c>
      <c r="D135">
        <v>1</v>
      </c>
      <c r="E135">
        <v>75000</v>
      </c>
      <c r="F135">
        <v>0</v>
      </c>
      <c r="G135">
        <v>0.5</v>
      </c>
      <c r="H135">
        <v>0.5</v>
      </c>
    </row>
    <row r="136" spans="1:9" x14ac:dyDescent="0.25">
      <c r="A136" t="s">
        <v>133</v>
      </c>
      <c r="B136" t="s">
        <v>167</v>
      </c>
      <c r="C136">
        <v>1</v>
      </c>
      <c r="D136">
        <v>1</v>
      </c>
      <c r="E136">
        <v>75000</v>
      </c>
      <c r="F136">
        <v>0</v>
      </c>
      <c r="G136">
        <v>0.5</v>
      </c>
      <c r="H136">
        <v>0.5</v>
      </c>
    </row>
    <row r="137" spans="1:9" x14ac:dyDescent="0.25">
      <c r="A137" t="s">
        <v>134</v>
      </c>
      <c r="B137" t="s">
        <v>167</v>
      </c>
      <c r="C137">
        <v>1</v>
      </c>
      <c r="D137">
        <v>1</v>
      </c>
      <c r="E137">
        <v>75000</v>
      </c>
      <c r="F137">
        <v>0</v>
      </c>
      <c r="G137">
        <v>0.5</v>
      </c>
      <c r="H137">
        <v>0.5</v>
      </c>
    </row>
    <row r="138" spans="1:9" x14ac:dyDescent="0.25">
      <c r="A138" t="s">
        <v>135</v>
      </c>
      <c r="B138" t="s">
        <v>167</v>
      </c>
      <c r="C138">
        <v>1</v>
      </c>
      <c r="D138">
        <v>1</v>
      </c>
      <c r="E138">
        <v>75000</v>
      </c>
      <c r="F138">
        <v>0</v>
      </c>
      <c r="G138">
        <v>0.5</v>
      </c>
      <c r="H138">
        <v>0.5</v>
      </c>
    </row>
    <row r="139" spans="1:9" x14ac:dyDescent="0.25">
      <c r="A139" t="s">
        <v>136</v>
      </c>
      <c r="B139" t="s">
        <v>167</v>
      </c>
      <c r="C139">
        <v>1</v>
      </c>
      <c r="D139">
        <v>1</v>
      </c>
      <c r="E139">
        <v>75000</v>
      </c>
      <c r="F139">
        <v>0</v>
      </c>
      <c r="G139">
        <v>0.5</v>
      </c>
      <c r="H139">
        <v>0.5</v>
      </c>
    </row>
    <row r="140" spans="1:9" x14ac:dyDescent="0.25">
      <c r="A140" t="s">
        <v>137</v>
      </c>
      <c r="B140" t="s">
        <v>167</v>
      </c>
      <c r="C140">
        <v>1</v>
      </c>
      <c r="D140">
        <v>1</v>
      </c>
      <c r="E140">
        <v>75000</v>
      </c>
      <c r="F140">
        <v>0</v>
      </c>
      <c r="G140">
        <v>0.5</v>
      </c>
      <c r="H140">
        <v>0.5</v>
      </c>
    </row>
    <row r="141" spans="1:9" x14ac:dyDescent="0.25">
      <c r="A141" t="s">
        <v>138</v>
      </c>
      <c r="B141" t="s">
        <v>167</v>
      </c>
      <c r="C141">
        <v>800</v>
      </c>
      <c r="D141">
        <v>60</v>
      </c>
      <c r="E141">
        <v>12000</v>
      </c>
      <c r="F141">
        <v>114</v>
      </c>
      <c r="G141">
        <v>1.1000000000000001</v>
      </c>
      <c r="H141">
        <v>1.1000000000000001</v>
      </c>
    </row>
    <row r="142" spans="1:9" x14ac:dyDescent="0.25">
      <c r="A142" t="s">
        <v>139</v>
      </c>
      <c r="B142" t="s">
        <v>167</v>
      </c>
      <c r="E142">
        <v>450000</v>
      </c>
      <c r="F142">
        <v>350</v>
      </c>
      <c r="G142">
        <v>1</v>
      </c>
      <c r="H142">
        <v>1</v>
      </c>
    </row>
    <row r="143" spans="1:9" x14ac:dyDescent="0.25">
      <c r="A143" t="s">
        <v>140</v>
      </c>
      <c r="B143" t="s">
        <v>167</v>
      </c>
      <c r="C143">
        <v>270</v>
      </c>
      <c r="D143">
        <v>18</v>
      </c>
      <c r="E143" t="s">
        <v>186</v>
      </c>
      <c r="F143">
        <v>195</v>
      </c>
      <c r="G143">
        <v>0.9</v>
      </c>
      <c r="H143">
        <v>0.95</v>
      </c>
    </row>
    <row r="144" spans="1:9" x14ac:dyDescent="0.25">
      <c r="A144" t="s">
        <v>141</v>
      </c>
      <c r="B144" t="s">
        <v>167</v>
      </c>
      <c r="C144">
        <v>3600</v>
      </c>
      <c r="D144">
        <v>293</v>
      </c>
      <c r="E144" t="s">
        <v>176</v>
      </c>
      <c r="F144">
        <v>90</v>
      </c>
      <c r="G144">
        <v>1</v>
      </c>
      <c r="H144">
        <v>1</v>
      </c>
    </row>
    <row r="145" spans="1:9" x14ac:dyDescent="0.25">
      <c r="A145" t="s">
        <v>142</v>
      </c>
      <c r="B145" t="s">
        <v>167</v>
      </c>
      <c r="C145" t="s">
        <v>178</v>
      </c>
      <c r="D145" t="s">
        <v>179</v>
      </c>
      <c r="E145" t="s">
        <v>177</v>
      </c>
      <c r="F145">
        <v>310</v>
      </c>
      <c r="G145">
        <v>0.98</v>
      </c>
      <c r="H145">
        <v>0.96</v>
      </c>
    </row>
    <row r="146" spans="1:9" x14ac:dyDescent="0.25">
      <c r="A146" t="s">
        <v>143</v>
      </c>
      <c r="B146" t="s">
        <v>167</v>
      </c>
      <c r="C146">
        <v>900</v>
      </c>
      <c r="D146">
        <v>73</v>
      </c>
      <c r="E146">
        <v>17000</v>
      </c>
      <c r="F146">
        <v>130</v>
      </c>
      <c r="G146">
        <v>1.2</v>
      </c>
      <c r="H146">
        <v>1.2</v>
      </c>
    </row>
    <row r="147" spans="1:9" x14ac:dyDescent="0.25">
      <c r="A147" t="s">
        <v>144</v>
      </c>
      <c r="B147" t="s">
        <v>167</v>
      </c>
      <c r="C147" t="s">
        <v>181</v>
      </c>
      <c r="D147" t="s">
        <v>182</v>
      </c>
      <c r="E147" t="s">
        <v>187</v>
      </c>
      <c r="F147">
        <v>210</v>
      </c>
      <c r="G147">
        <v>0.95</v>
      </c>
      <c r="H147">
        <v>1</v>
      </c>
    </row>
    <row r="148" spans="1:9" x14ac:dyDescent="0.25">
      <c r="A148" t="s">
        <v>145</v>
      </c>
      <c r="B148" t="s">
        <v>167</v>
      </c>
      <c r="C148">
        <v>340</v>
      </c>
      <c r="D148">
        <v>27</v>
      </c>
      <c r="E148">
        <v>600</v>
      </c>
      <c r="F148">
        <v>170</v>
      </c>
      <c r="G148">
        <v>0.8</v>
      </c>
      <c r="H148">
        <v>0.8</v>
      </c>
      <c r="I148">
        <v>0.8</v>
      </c>
    </row>
    <row r="149" spans="1:9" x14ac:dyDescent="0.25">
      <c r="A149" t="s">
        <v>146</v>
      </c>
      <c r="B149" t="s">
        <v>167</v>
      </c>
      <c r="C149">
        <v>2000</v>
      </c>
      <c r="D149">
        <v>185</v>
      </c>
      <c r="E149">
        <v>90000</v>
      </c>
      <c r="F149">
        <v>100</v>
      </c>
      <c r="G149">
        <v>1</v>
      </c>
      <c r="H149">
        <v>1</v>
      </c>
    </row>
    <row r="150" spans="1:9" x14ac:dyDescent="0.25">
      <c r="A150" t="s">
        <v>147</v>
      </c>
      <c r="B150" t="s">
        <v>167</v>
      </c>
      <c r="C150">
        <v>8000</v>
      </c>
      <c r="D150">
        <v>300</v>
      </c>
      <c r="E150" t="s">
        <v>188</v>
      </c>
      <c r="F150">
        <v>30</v>
      </c>
      <c r="G150">
        <v>0.85</v>
      </c>
      <c r="H150">
        <v>0.85</v>
      </c>
      <c r="I150">
        <v>0.8</v>
      </c>
    </row>
    <row r="151" spans="1:9" x14ac:dyDescent="0.25">
      <c r="A151" t="s">
        <v>148</v>
      </c>
      <c r="B151" t="s">
        <v>167</v>
      </c>
      <c r="C151">
        <v>300</v>
      </c>
      <c r="D151">
        <v>24</v>
      </c>
      <c r="E151" t="s">
        <v>189</v>
      </c>
      <c r="F151">
        <v>185</v>
      </c>
      <c r="G151">
        <v>0.95</v>
      </c>
      <c r="H151">
        <v>1</v>
      </c>
    </row>
    <row r="152" spans="1:9" x14ac:dyDescent="0.25">
      <c r="A152" t="s">
        <v>149</v>
      </c>
      <c r="B152" t="s">
        <v>167</v>
      </c>
      <c r="C152">
        <v>50</v>
      </c>
      <c r="D152">
        <v>15</v>
      </c>
      <c r="E152">
        <v>100</v>
      </c>
      <c r="F152">
        <v>600</v>
      </c>
      <c r="G152">
        <v>1</v>
      </c>
      <c r="H152">
        <v>1</v>
      </c>
    </row>
    <row r="153" spans="1:9" x14ac:dyDescent="0.25">
      <c r="A153" t="s">
        <v>150</v>
      </c>
      <c r="B153" t="s">
        <v>167</v>
      </c>
      <c r="C153">
        <v>100</v>
      </c>
      <c r="D153">
        <v>20</v>
      </c>
      <c r="E153">
        <v>100</v>
      </c>
      <c r="F153">
        <v>350</v>
      </c>
      <c r="G153">
        <v>1</v>
      </c>
      <c r="H153">
        <v>1</v>
      </c>
    </row>
    <row r="154" spans="1:9" x14ac:dyDescent="0.25">
      <c r="A154" t="s">
        <v>151</v>
      </c>
      <c r="B154" t="s">
        <v>167</v>
      </c>
      <c r="C154">
        <v>250</v>
      </c>
      <c r="D154">
        <v>35</v>
      </c>
      <c r="E154">
        <v>600</v>
      </c>
      <c r="F154">
        <v>160</v>
      </c>
      <c r="G154">
        <v>0.85</v>
      </c>
      <c r="H154">
        <v>0.85</v>
      </c>
    </row>
    <row r="155" spans="1:9" x14ac:dyDescent="0.25">
      <c r="A155" t="s">
        <v>152</v>
      </c>
      <c r="B155" t="s">
        <v>167</v>
      </c>
      <c r="C155">
        <v>750</v>
      </c>
      <c r="D155">
        <v>60</v>
      </c>
      <c r="E155">
        <v>10000</v>
      </c>
      <c r="F155">
        <v>100</v>
      </c>
      <c r="G155">
        <v>0.75</v>
      </c>
      <c r="H155">
        <v>0.75</v>
      </c>
    </row>
    <row r="156" spans="1:9" x14ac:dyDescent="0.25">
      <c r="A156" t="s">
        <v>153</v>
      </c>
      <c r="B156" t="s">
        <v>167</v>
      </c>
      <c r="C156">
        <v>750</v>
      </c>
      <c r="D156">
        <v>64</v>
      </c>
      <c r="E156">
        <v>10000</v>
      </c>
      <c r="F156">
        <v>100</v>
      </c>
      <c r="G156">
        <v>0.75</v>
      </c>
      <c r="H156">
        <v>0.75</v>
      </c>
    </row>
    <row r="157" spans="1:9" x14ac:dyDescent="0.25">
      <c r="A157" t="s">
        <v>154</v>
      </c>
      <c r="B157" t="s">
        <v>167</v>
      </c>
      <c r="C157">
        <v>750</v>
      </c>
      <c r="D157">
        <v>68</v>
      </c>
      <c r="E157">
        <v>10000</v>
      </c>
      <c r="F157">
        <v>100</v>
      </c>
      <c r="G157">
        <v>0.75</v>
      </c>
      <c r="H157">
        <v>0.75</v>
      </c>
    </row>
    <row r="158" spans="1:9" x14ac:dyDescent="0.25">
      <c r="A158" t="s">
        <v>155</v>
      </c>
      <c r="B158" t="s">
        <v>167</v>
      </c>
      <c r="C158">
        <v>750</v>
      </c>
      <c r="D158">
        <v>72</v>
      </c>
      <c r="E158">
        <v>10000</v>
      </c>
      <c r="F158">
        <v>100</v>
      </c>
      <c r="G158">
        <v>0.75</v>
      </c>
      <c r="H158">
        <v>0.75</v>
      </c>
    </row>
    <row r="159" spans="1:9" x14ac:dyDescent="0.25">
      <c r="A159" t="s">
        <v>156</v>
      </c>
      <c r="B159" t="s">
        <v>167</v>
      </c>
      <c r="C159">
        <v>750</v>
      </c>
      <c r="D159">
        <v>76</v>
      </c>
      <c r="E159">
        <v>10000</v>
      </c>
      <c r="F159">
        <v>100</v>
      </c>
      <c r="G159">
        <v>0.75</v>
      </c>
      <c r="H159">
        <v>0.75</v>
      </c>
    </row>
    <row r="160" spans="1:9" x14ac:dyDescent="0.25">
      <c r="A160" t="s">
        <v>157</v>
      </c>
      <c r="B160" t="s">
        <v>167</v>
      </c>
      <c r="C160">
        <v>750</v>
      </c>
      <c r="D160">
        <v>80</v>
      </c>
      <c r="E160">
        <v>10000</v>
      </c>
      <c r="F160">
        <v>100</v>
      </c>
      <c r="G160">
        <v>0.75</v>
      </c>
      <c r="H160">
        <v>0.75</v>
      </c>
    </row>
    <row r="161" spans="1:9" x14ac:dyDescent="0.25">
      <c r="A161" t="s">
        <v>158</v>
      </c>
      <c r="B161" t="s">
        <v>167</v>
      </c>
      <c r="C161">
        <v>3000</v>
      </c>
      <c r="D161">
        <v>600</v>
      </c>
      <c r="E161">
        <v>220000</v>
      </c>
      <c r="F161">
        <v>0</v>
      </c>
      <c r="G161">
        <v>1</v>
      </c>
      <c r="H161">
        <v>1</v>
      </c>
    </row>
    <row r="162" spans="1:9" x14ac:dyDescent="0.25">
      <c r="A162" t="s">
        <v>159</v>
      </c>
      <c r="B162" t="s">
        <v>167</v>
      </c>
      <c r="C162">
        <v>600</v>
      </c>
      <c r="D162">
        <v>60</v>
      </c>
      <c r="E162">
        <v>6000</v>
      </c>
      <c r="F162">
        <v>110</v>
      </c>
      <c r="G162">
        <v>0.8</v>
      </c>
      <c r="H162">
        <v>0.9</v>
      </c>
      <c r="I162">
        <v>0.9</v>
      </c>
    </row>
    <row r="163" spans="1:9" x14ac:dyDescent="0.25">
      <c r="A163" t="s">
        <v>160</v>
      </c>
      <c r="B163" t="s">
        <v>167</v>
      </c>
      <c r="C163">
        <v>900</v>
      </c>
      <c r="D163">
        <v>70</v>
      </c>
      <c r="E163">
        <v>25000</v>
      </c>
      <c r="F163">
        <v>100</v>
      </c>
      <c r="G163">
        <v>0.9</v>
      </c>
      <c r="H163">
        <v>1</v>
      </c>
      <c r="I163">
        <v>1</v>
      </c>
    </row>
    <row r="164" spans="1:9" x14ac:dyDescent="0.25">
      <c r="A164" t="s">
        <v>161</v>
      </c>
      <c r="B164" t="s">
        <v>167</v>
      </c>
      <c r="C164">
        <v>250</v>
      </c>
      <c r="D164">
        <v>35</v>
      </c>
      <c r="E164">
        <v>900</v>
      </c>
      <c r="F164">
        <v>150</v>
      </c>
      <c r="G164">
        <v>1</v>
      </c>
      <c r="H164">
        <v>1</v>
      </c>
    </row>
    <row r="165" spans="1:9" x14ac:dyDescent="0.25">
      <c r="A165" t="s">
        <v>162</v>
      </c>
      <c r="B165" t="s">
        <v>167</v>
      </c>
      <c r="C165">
        <v>90</v>
      </c>
      <c r="D165">
        <v>6</v>
      </c>
      <c r="E165" t="s">
        <v>177</v>
      </c>
      <c r="F165">
        <v>400</v>
      </c>
      <c r="G165">
        <v>1</v>
      </c>
      <c r="H165">
        <v>1</v>
      </c>
    </row>
    <row r="166" spans="1:9" x14ac:dyDescent="0.25">
      <c r="A166" t="s">
        <v>163</v>
      </c>
      <c r="B166" t="s">
        <v>167</v>
      </c>
      <c r="C166">
        <v>700</v>
      </c>
      <c r="D166">
        <v>70</v>
      </c>
      <c r="E166">
        <v>8000</v>
      </c>
      <c r="F166">
        <v>90</v>
      </c>
      <c r="G166">
        <v>1</v>
      </c>
      <c r="H166">
        <v>1</v>
      </c>
    </row>
    <row r="167" spans="1:9" x14ac:dyDescent="0.25">
      <c r="A167" t="s">
        <v>164</v>
      </c>
      <c r="B167" t="s">
        <v>167</v>
      </c>
      <c r="C167">
        <v>800</v>
      </c>
      <c r="D167">
        <v>85</v>
      </c>
      <c r="E167">
        <v>20000</v>
      </c>
      <c r="F167">
        <v>175</v>
      </c>
      <c r="G167">
        <v>1</v>
      </c>
      <c r="H167">
        <v>1</v>
      </c>
    </row>
    <row r="168" spans="1:9" x14ac:dyDescent="0.25">
      <c r="A168" t="s">
        <v>165</v>
      </c>
      <c r="B168" t="s">
        <v>167</v>
      </c>
      <c r="C168">
        <v>1</v>
      </c>
      <c r="D168">
        <v>1</v>
      </c>
      <c r="E168">
        <v>50</v>
      </c>
      <c r="F168">
        <v>228</v>
      </c>
      <c r="G168">
        <v>1</v>
      </c>
      <c r="H168">
        <v>1</v>
      </c>
    </row>
    <row r="169" spans="1:9" x14ac:dyDescent="0.25">
      <c r="A169" t="s">
        <v>39</v>
      </c>
      <c r="B169" t="s">
        <v>482</v>
      </c>
      <c r="C169">
        <v>650</v>
      </c>
      <c r="D169">
        <v>45</v>
      </c>
      <c r="E169">
        <v>16000</v>
      </c>
      <c r="F169">
        <v>161</v>
      </c>
      <c r="G169">
        <v>1.2</v>
      </c>
      <c r="H169">
        <v>1.2</v>
      </c>
    </row>
    <row r="170" spans="1:9" x14ac:dyDescent="0.25">
      <c r="A170" t="s">
        <v>39</v>
      </c>
      <c r="B170" t="s">
        <v>167</v>
      </c>
      <c r="C170">
        <v>650</v>
      </c>
      <c r="D170">
        <v>45</v>
      </c>
      <c r="E170">
        <v>16000</v>
      </c>
      <c r="F170">
        <v>161</v>
      </c>
      <c r="G170">
        <v>1.2</v>
      </c>
      <c r="H170">
        <v>1.2</v>
      </c>
    </row>
    <row r="171" spans="1:9" x14ac:dyDescent="0.25">
      <c r="A171" t="s">
        <v>40</v>
      </c>
      <c r="B171" t="s">
        <v>482</v>
      </c>
      <c r="C171">
        <v>4000</v>
      </c>
      <c r="D171">
        <v>280</v>
      </c>
      <c r="E171">
        <v>240000</v>
      </c>
      <c r="F171">
        <v>69</v>
      </c>
      <c r="G171">
        <v>1.2</v>
      </c>
      <c r="H171">
        <v>1.2</v>
      </c>
    </row>
    <row r="172" spans="1:9" x14ac:dyDescent="0.25">
      <c r="A172" t="s">
        <v>40</v>
      </c>
      <c r="B172" t="s">
        <v>167</v>
      </c>
      <c r="C172">
        <v>4000</v>
      </c>
      <c r="D172">
        <v>280</v>
      </c>
      <c r="E172">
        <v>240000</v>
      </c>
      <c r="F172">
        <v>69</v>
      </c>
      <c r="G172">
        <v>1.2</v>
      </c>
      <c r="H172">
        <v>1.2</v>
      </c>
    </row>
    <row r="173" spans="1:9" x14ac:dyDescent="0.25">
      <c r="A173" t="s">
        <v>41</v>
      </c>
      <c r="B173" t="s">
        <v>482</v>
      </c>
      <c r="C173">
        <v>550</v>
      </c>
      <c r="D173">
        <v>40</v>
      </c>
      <c r="E173">
        <v>30</v>
      </c>
      <c r="F173">
        <v>260</v>
      </c>
      <c r="G173">
        <v>1</v>
      </c>
      <c r="H173">
        <v>1</v>
      </c>
    </row>
    <row r="174" spans="1:9" x14ac:dyDescent="0.25">
      <c r="A174" t="s">
        <v>41</v>
      </c>
      <c r="B174" t="s">
        <v>167</v>
      </c>
      <c r="C174">
        <v>550</v>
      </c>
      <c r="D174">
        <v>40</v>
      </c>
      <c r="E174">
        <v>30</v>
      </c>
      <c r="F174">
        <v>260</v>
      </c>
      <c r="G174">
        <v>1</v>
      </c>
      <c r="H174">
        <v>1</v>
      </c>
    </row>
    <row r="175" spans="1:9" x14ac:dyDescent="0.25">
      <c r="A175" t="s">
        <v>42</v>
      </c>
      <c r="B175" t="s">
        <v>482</v>
      </c>
      <c r="C175">
        <v>1700</v>
      </c>
      <c r="D175">
        <v>40</v>
      </c>
      <c r="E175">
        <v>55000</v>
      </c>
      <c r="F175">
        <v>75</v>
      </c>
      <c r="G175">
        <v>1.2</v>
      </c>
      <c r="H175">
        <v>1.2</v>
      </c>
    </row>
    <row r="176" spans="1:9" x14ac:dyDescent="0.25">
      <c r="A176" t="s">
        <v>42</v>
      </c>
      <c r="B176" t="s">
        <v>167</v>
      </c>
      <c r="C176">
        <v>1700</v>
      </c>
      <c r="D176">
        <v>40</v>
      </c>
      <c r="E176">
        <v>55000</v>
      </c>
      <c r="F176">
        <v>75</v>
      </c>
      <c r="G176">
        <v>1.2</v>
      </c>
      <c r="H176">
        <v>1.2</v>
      </c>
    </row>
    <row r="177" spans="1:8" x14ac:dyDescent="0.25">
      <c r="A177" t="s">
        <v>43</v>
      </c>
      <c r="B177" t="s">
        <v>482</v>
      </c>
      <c r="C177">
        <v>400</v>
      </c>
      <c r="D177">
        <v>30</v>
      </c>
      <c r="E177">
        <v>600</v>
      </c>
      <c r="F177">
        <v>215</v>
      </c>
      <c r="G177">
        <v>1</v>
      </c>
      <c r="H177">
        <v>1</v>
      </c>
    </row>
    <row r="178" spans="1:8" x14ac:dyDescent="0.25">
      <c r="A178" t="s">
        <v>43</v>
      </c>
      <c r="B178" t="s">
        <v>167</v>
      </c>
      <c r="C178">
        <v>400</v>
      </c>
      <c r="D178">
        <v>30</v>
      </c>
      <c r="E178">
        <v>600</v>
      </c>
      <c r="F178">
        <v>215</v>
      </c>
      <c r="G178">
        <v>1</v>
      </c>
      <c r="H178">
        <v>1</v>
      </c>
    </row>
    <row r="179" spans="1:8" x14ac:dyDescent="0.25">
      <c r="A179" t="s">
        <v>44</v>
      </c>
      <c r="B179" t="s">
        <v>482</v>
      </c>
      <c r="C179">
        <v>1</v>
      </c>
      <c r="D179">
        <v>1</v>
      </c>
      <c r="E179">
        <v>100000</v>
      </c>
      <c r="F179">
        <v>0</v>
      </c>
      <c r="G179">
        <v>1</v>
      </c>
      <c r="H179">
        <v>1</v>
      </c>
    </row>
    <row r="180" spans="1:8" x14ac:dyDescent="0.25">
      <c r="A180" t="s">
        <v>44</v>
      </c>
      <c r="B180" t="s">
        <v>167</v>
      </c>
      <c r="C180">
        <v>1</v>
      </c>
      <c r="D180">
        <v>1</v>
      </c>
      <c r="E180">
        <v>100000</v>
      </c>
      <c r="F180">
        <v>0</v>
      </c>
      <c r="G180">
        <v>1</v>
      </c>
      <c r="H180">
        <v>1</v>
      </c>
    </row>
    <row r="181" spans="1:8" x14ac:dyDescent="0.25">
      <c r="A181" t="s">
        <v>45</v>
      </c>
      <c r="B181" t="s">
        <v>482</v>
      </c>
      <c r="C181">
        <v>2000</v>
      </c>
      <c r="D181">
        <v>165</v>
      </c>
      <c r="E181">
        <v>85000</v>
      </c>
      <c r="F181">
        <v>115</v>
      </c>
      <c r="G181">
        <v>1</v>
      </c>
      <c r="H181">
        <v>1.2</v>
      </c>
    </row>
    <row r="182" spans="1:8" x14ac:dyDescent="0.25">
      <c r="A182" t="s">
        <v>45</v>
      </c>
      <c r="B182" t="s">
        <v>167</v>
      </c>
      <c r="C182">
        <v>2000</v>
      </c>
      <c r="D182">
        <v>165</v>
      </c>
      <c r="E182">
        <v>85000</v>
      </c>
      <c r="F182">
        <v>115</v>
      </c>
      <c r="G182">
        <v>1</v>
      </c>
      <c r="H182">
        <v>1.2</v>
      </c>
    </row>
    <row r="183" spans="1:8" x14ac:dyDescent="0.25">
      <c r="A183" t="s">
        <v>46</v>
      </c>
      <c r="B183" t="s">
        <v>482</v>
      </c>
      <c r="C183">
        <v>700</v>
      </c>
      <c r="D183">
        <v>45</v>
      </c>
      <c r="E183">
        <v>16000</v>
      </c>
      <c r="F183">
        <v>150</v>
      </c>
      <c r="G183">
        <v>1.2</v>
      </c>
      <c r="H183">
        <v>1.2</v>
      </c>
    </row>
    <row r="184" spans="1:8" x14ac:dyDescent="0.25">
      <c r="A184" t="s">
        <v>46</v>
      </c>
      <c r="B184" t="s">
        <v>167</v>
      </c>
      <c r="C184">
        <v>700</v>
      </c>
      <c r="D184">
        <v>45</v>
      </c>
      <c r="E184">
        <v>16000</v>
      </c>
      <c r="F184">
        <v>150</v>
      </c>
      <c r="G184">
        <v>1.2</v>
      </c>
      <c r="H184">
        <v>1.2</v>
      </c>
    </row>
    <row r="185" spans="1:8" x14ac:dyDescent="0.25">
      <c r="A185" t="s">
        <v>47</v>
      </c>
      <c r="B185" t="s">
        <v>482</v>
      </c>
      <c r="C185">
        <v>750</v>
      </c>
      <c r="D185">
        <v>45</v>
      </c>
      <c r="E185">
        <v>16000</v>
      </c>
      <c r="F185">
        <v>600</v>
      </c>
      <c r="G185">
        <v>1</v>
      </c>
      <c r="H185">
        <v>1</v>
      </c>
    </row>
    <row r="186" spans="1:8" x14ac:dyDescent="0.25">
      <c r="A186" t="s">
        <v>47</v>
      </c>
      <c r="B186" t="s">
        <v>167</v>
      </c>
      <c r="C186">
        <v>750</v>
      </c>
      <c r="D186">
        <v>45</v>
      </c>
      <c r="E186">
        <v>16000</v>
      </c>
      <c r="F186">
        <v>600</v>
      </c>
      <c r="G186">
        <v>1</v>
      </c>
      <c r="H186">
        <v>1</v>
      </c>
    </row>
    <row r="187" spans="1:8" x14ac:dyDescent="0.25">
      <c r="A187" t="s">
        <v>48</v>
      </c>
      <c r="B187" t="s">
        <v>482</v>
      </c>
      <c r="C187">
        <v>800</v>
      </c>
      <c r="D187">
        <v>50</v>
      </c>
      <c r="E187">
        <v>20000</v>
      </c>
      <c r="F187">
        <v>230</v>
      </c>
      <c r="G187">
        <v>1.2</v>
      </c>
      <c r="H187">
        <v>1.2</v>
      </c>
    </row>
    <row r="188" spans="1:8" x14ac:dyDescent="0.25">
      <c r="A188" t="s">
        <v>48</v>
      </c>
      <c r="B188" t="s">
        <v>167</v>
      </c>
      <c r="C188">
        <v>800</v>
      </c>
      <c r="D188">
        <v>50</v>
      </c>
      <c r="E188">
        <v>20000</v>
      </c>
      <c r="F188">
        <v>230</v>
      </c>
      <c r="G188">
        <v>1.2</v>
      </c>
      <c r="H188">
        <v>1.2</v>
      </c>
    </row>
    <row r="189" spans="1:8" x14ac:dyDescent="0.25">
      <c r="A189" t="s">
        <v>49</v>
      </c>
      <c r="B189" t="s">
        <v>482</v>
      </c>
      <c r="C189">
        <v>500</v>
      </c>
      <c r="D189">
        <v>35</v>
      </c>
      <c r="E189">
        <v>30</v>
      </c>
      <c r="F189">
        <v>325</v>
      </c>
      <c r="G189">
        <v>1</v>
      </c>
      <c r="H189">
        <v>1</v>
      </c>
    </row>
    <row r="190" spans="1:8" x14ac:dyDescent="0.25">
      <c r="A190" t="s">
        <v>49</v>
      </c>
      <c r="B190" t="s">
        <v>167</v>
      </c>
      <c r="C190">
        <v>500</v>
      </c>
      <c r="D190">
        <v>35</v>
      </c>
      <c r="E190">
        <v>30</v>
      </c>
      <c r="F190" s="2">
        <v>320</v>
      </c>
      <c r="G190">
        <v>1</v>
      </c>
      <c r="H190">
        <v>1</v>
      </c>
    </row>
    <row r="191" spans="1:8" x14ac:dyDescent="0.25">
      <c r="A191" t="s">
        <v>50</v>
      </c>
      <c r="B191" t="s">
        <v>482</v>
      </c>
      <c r="C191">
        <v>500</v>
      </c>
      <c r="D191">
        <v>35</v>
      </c>
      <c r="E191">
        <v>30</v>
      </c>
      <c r="F191">
        <v>260</v>
      </c>
      <c r="G191">
        <v>1</v>
      </c>
      <c r="H191">
        <v>1</v>
      </c>
    </row>
    <row r="192" spans="1:8" x14ac:dyDescent="0.25">
      <c r="A192" t="s">
        <v>50</v>
      </c>
      <c r="B192" t="s">
        <v>167</v>
      </c>
      <c r="C192">
        <v>500</v>
      </c>
      <c r="D192">
        <v>35</v>
      </c>
      <c r="E192">
        <v>30</v>
      </c>
      <c r="F192">
        <v>260</v>
      </c>
      <c r="G192">
        <v>1</v>
      </c>
      <c r="H192">
        <v>1</v>
      </c>
    </row>
    <row r="193" spans="1:9" x14ac:dyDescent="0.25">
      <c r="A193" t="s">
        <v>51</v>
      </c>
      <c r="B193" t="s">
        <v>482</v>
      </c>
      <c r="C193">
        <v>650</v>
      </c>
      <c r="D193">
        <v>45</v>
      </c>
      <c r="E193">
        <v>400</v>
      </c>
      <c r="F193">
        <v>215</v>
      </c>
      <c r="G193">
        <v>1</v>
      </c>
      <c r="H193">
        <v>1</v>
      </c>
    </row>
    <row r="194" spans="1:9" x14ac:dyDescent="0.25">
      <c r="A194" t="s">
        <v>51</v>
      </c>
      <c r="B194" t="s">
        <v>167</v>
      </c>
      <c r="C194">
        <v>650</v>
      </c>
      <c r="D194">
        <v>45</v>
      </c>
      <c r="E194">
        <v>400</v>
      </c>
      <c r="F194">
        <v>215</v>
      </c>
      <c r="G194">
        <v>1</v>
      </c>
      <c r="H194">
        <v>1</v>
      </c>
    </row>
    <row r="195" spans="1:9" x14ac:dyDescent="0.25">
      <c r="A195" t="s">
        <v>52</v>
      </c>
      <c r="B195" t="s">
        <v>482</v>
      </c>
      <c r="C195">
        <v>800</v>
      </c>
      <c r="D195">
        <v>45</v>
      </c>
      <c r="E195">
        <v>400</v>
      </c>
      <c r="F195">
        <v>215</v>
      </c>
      <c r="G195">
        <v>1</v>
      </c>
      <c r="H195">
        <v>1</v>
      </c>
    </row>
    <row r="196" spans="1:9" x14ac:dyDescent="0.25">
      <c r="A196" t="s">
        <v>52</v>
      </c>
      <c r="B196" t="s">
        <v>167</v>
      </c>
      <c r="C196">
        <v>800</v>
      </c>
      <c r="D196">
        <v>45</v>
      </c>
      <c r="E196">
        <v>400</v>
      </c>
      <c r="F196">
        <v>215</v>
      </c>
      <c r="G196">
        <v>1</v>
      </c>
      <c r="H196">
        <v>1</v>
      </c>
    </row>
    <row r="197" spans="1:9" x14ac:dyDescent="0.25">
      <c r="A197" t="s">
        <v>53</v>
      </c>
      <c r="B197" t="s">
        <v>482</v>
      </c>
      <c r="C197">
        <v>625</v>
      </c>
      <c r="D197">
        <v>45</v>
      </c>
      <c r="E197">
        <v>400</v>
      </c>
      <c r="F197">
        <v>215</v>
      </c>
      <c r="G197">
        <v>1</v>
      </c>
      <c r="H197">
        <v>1</v>
      </c>
    </row>
    <row r="198" spans="1:9" x14ac:dyDescent="0.25">
      <c r="A198" t="s">
        <v>53</v>
      </c>
      <c r="B198" t="s">
        <v>167</v>
      </c>
      <c r="C198">
        <v>625</v>
      </c>
      <c r="D198">
        <v>45</v>
      </c>
      <c r="E198">
        <v>400</v>
      </c>
      <c r="F198">
        <v>215</v>
      </c>
      <c r="G198">
        <v>1</v>
      </c>
      <c r="H198">
        <v>1</v>
      </c>
    </row>
    <row r="199" spans="1:9" x14ac:dyDescent="0.25">
      <c r="A199" t="s">
        <v>54</v>
      </c>
      <c r="B199" t="s">
        <v>482</v>
      </c>
      <c r="C199">
        <v>8000</v>
      </c>
      <c r="D199">
        <v>1</v>
      </c>
      <c r="E199">
        <v>200000</v>
      </c>
      <c r="F199">
        <v>40</v>
      </c>
      <c r="G199">
        <v>1</v>
      </c>
      <c r="H199">
        <v>1</v>
      </c>
    </row>
    <row r="200" spans="1:9" x14ac:dyDescent="0.25">
      <c r="A200" t="s">
        <v>54</v>
      </c>
      <c r="B200" t="s">
        <v>167</v>
      </c>
      <c r="C200">
        <v>8000</v>
      </c>
      <c r="D200">
        <v>1</v>
      </c>
      <c r="E200" s="2" t="s">
        <v>190</v>
      </c>
      <c r="F200">
        <v>40</v>
      </c>
      <c r="G200" s="2">
        <v>0.85</v>
      </c>
      <c r="H200" s="2">
        <v>0.85</v>
      </c>
      <c r="I200" s="2">
        <v>0.8</v>
      </c>
    </row>
    <row r="201" spans="1:9" x14ac:dyDescent="0.25">
      <c r="A201" t="s">
        <v>55</v>
      </c>
      <c r="B201" t="s">
        <v>482</v>
      </c>
      <c r="C201">
        <v>8000</v>
      </c>
      <c r="D201">
        <v>1</v>
      </c>
      <c r="E201">
        <v>650000</v>
      </c>
      <c r="F201">
        <v>40</v>
      </c>
      <c r="G201">
        <v>1</v>
      </c>
      <c r="H201">
        <v>1</v>
      </c>
    </row>
    <row r="202" spans="1:9" x14ac:dyDescent="0.25">
      <c r="A202" t="s">
        <v>55</v>
      </c>
      <c r="B202" t="s">
        <v>167</v>
      </c>
      <c r="C202">
        <v>8000</v>
      </c>
      <c r="D202">
        <v>1</v>
      </c>
      <c r="E202">
        <v>650000</v>
      </c>
      <c r="F202">
        <v>40</v>
      </c>
      <c r="G202" s="2">
        <v>0.9</v>
      </c>
      <c r="H202" s="2">
        <v>0.9</v>
      </c>
      <c r="I202" s="2">
        <v>0.9</v>
      </c>
    </row>
    <row r="203" spans="1:9" x14ac:dyDescent="0.25">
      <c r="A203" t="s">
        <v>56</v>
      </c>
      <c r="B203" t="s">
        <v>482</v>
      </c>
      <c r="C203">
        <v>1</v>
      </c>
      <c r="D203">
        <v>1</v>
      </c>
      <c r="E203">
        <v>375000</v>
      </c>
      <c r="F203">
        <v>50</v>
      </c>
      <c r="G203">
        <v>1</v>
      </c>
      <c r="H203">
        <v>1</v>
      </c>
    </row>
    <row r="204" spans="1:9" x14ac:dyDescent="0.25">
      <c r="A204" t="s">
        <v>56</v>
      </c>
      <c r="B204" t="s">
        <v>167</v>
      </c>
      <c r="C204">
        <v>1</v>
      </c>
      <c r="D204">
        <v>1</v>
      </c>
      <c r="E204">
        <v>375000</v>
      </c>
      <c r="F204">
        <v>50</v>
      </c>
      <c r="G204">
        <v>1</v>
      </c>
      <c r="H204">
        <v>1</v>
      </c>
    </row>
    <row r="205" spans="1:9" x14ac:dyDescent="0.25">
      <c r="A205" t="s">
        <v>57</v>
      </c>
      <c r="B205" t="s">
        <v>482</v>
      </c>
      <c r="C205">
        <v>500</v>
      </c>
      <c r="D205">
        <v>25</v>
      </c>
      <c r="E205">
        <v>250</v>
      </c>
      <c r="F205">
        <v>250</v>
      </c>
      <c r="G205">
        <v>1</v>
      </c>
      <c r="H205">
        <v>1</v>
      </c>
    </row>
    <row r="206" spans="1:9" x14ac:dyDescent="0.25">
      <c r="A206" t="s">
        <v>57</v>
      </c>
      <c r="B206" t="s">
        <v>167</v>
      </c>
      <c r="C206">
        <v>500</v>
      </c>
      <c r="D206">
        <v>25</v>
      </c>
      <c r="E206">
        <v>250</v>
      </c>
      <c r="F206">
        <v>250</v>
      </c>
      <c r="G206">
        <v>1</v>
      </c>
      <c r="H206">
        <v>1</v>
      </c>
    </row>
    <row r="207" spans="1:9" x14ac:dyDescent="0.25">
      <c r="A207" t="s">
        <v>58</v>
      </c>
      <c r="B207" t="s">
        <v>482</v>
      </c>
      <c r="C207">
        <v>1</v>
      </c>
      <c r="D207">
        <v>1</v>
      </c>
      <c r="E207">
        <v>1000000</v>
      </c>
      <c r="F207">
        <v>50</v>
      </c>
      <c r="G207">
        <v>1</v>
      </c>
      <c r="H207">
        <v>1</v>
      </c>
    </row>
    <row r="208" spans="1:9" x14ac:dyDescent="0.25">
      <c r="A208" t="s">
        <v>58</v>
      </c>
      <c r="B208" t="s">
        <v>167</v>
      </c>
      <c r="C208">
        <v>1</v>
      </c>
      <c r="D208">
        <v>1</v>
      </c>
      <c r="E208">
        <v>1000000</v>
      </c>
      <c r="F208">
        <v>50</v>
      </c>
      <c r="G208">
        <v>1</v>
      </c>
      <c r="H208">
        <v>1</v>
      </c>
    </row>
    <row r="209" spans="1:9" x14ac:dyDescent="0.25">
      <c r="A209" t="s">
        <v>59</v>
      </c>
      <c r="B209" t="s">
        <v>482</v>
      </c>
      <c r="C209">
        <v>150</v>
      </c>
      <c r="D209">
        <v>15</v>
      </c>
      <c r="E209">
        <v>50</v>
      </c>
      <c r="F209">
        <v>600</v>
      </c>
      <c r="G209">
        <v>1</v>
      </c>
      <c r="H209">
        <v>1</v>
      </c>
    </row>
    <row r="210" spans="1:9" x14ac:dyDescent="0.25">
      <c r="A210" t="s">
        <v>59</v>
      </c>
      <c r="B210" t="s">
        <v>167</v>
      </c>
      <c r="C210">
        <v>150</v>
      </c>
      <c r="D210">
        <v>15</v>
      </c>
      <c r="E210">
        <v>50</v>
      </c>
      <c r="F210">
        <v>600</v>
      </c>
      <c r="G210">
        <v>1</v>
      </c>
      <c r="H210">
        <v>1</v>
      </c>
    </row>
    <row r="211" spans="1:9" x14ac:dyDescent="0.25">
      <c r="A211" t="s">
        <v>60</v>
      </c>
      <c r="B211" t="s">
        <v>482</v>
      </c>
      <c r="C211">
        <v>500</v>
      </c>
      <c r="D211">
        <v>25</v>
      </c>
      <c r="E211">
        <v>50</v>
      </c>
      <c r="F211">
        <v>600</v>
      </c>
      <c r="G211">
        <v>1</v>
      </c>
      <c r="H211">
        <v>1</v>
      </c>
    </row>
    <row r="212" spans="1:9" x14ac:dyDescent="0.25">
      <c r="A212" t="s">
        <v>60</v>
      </c>
      <c r="B212" t="s">
        <v>167</v>
      </c>
      <c r="C212">
        <v>500</v>
      </c>
      <c r="D212">
        <v>25</v>
      </c>
      <c r="E212">
        <v>50</v>
      </c>
      <c r="F212">
        <v>600</v>
      </c>
      <c r="G212">
        <v>1</v>
      </c>
      <c r="H212">
        <v>1</v>
      </c>
    </row>
    <row r="213" spans="1:9" x14ac:dyDescent="0.25">
      <c r="A213" t="s">
        <v>61</v>
      </c>
      <c r="B213" t="s">
        <v>482</v>
      </c>
      <c r="C213">
        <v>250</v>
      </c>
      <c r="D213">
        <v>15</v>
      </c>
      <c r="E213">
        <v>50</v>
      </c>
      <c r="F213">
        <v>600</v>
      </c>
      <c r="G213">
        <v>1</v>
      </c>
      <c r="H213">
        <v>1</v>
      </c>
    </row>
    <row r="214" spans="1:9" x14ac:dyDescent="0.25">
      <c r="A214" t="s">
        <v>61</v>
      </c>
      <c r="B214" t="s">
        <v>167</v>
      </c>
      <c r="C214">
        <v>250</v>
      </c>
      <c r="D214">
        <v>15</v>
      </c>
      <c r="E214">
        <v>50</v>
      </c>
      <c r="F214">
        <v>600</v>
      </c>
      <c r="G214">
        <v>1</v>
      </c>
      <c r="H214">
        <v>1</v>
      </c>
    </row>
    <row r="215" spans="1:9" x14ac:dyDescent="0.25">
      <c r="A215" t="s">
        <v>62</v>
      </c>
      <c r="B215" t="s">
        <v>482</v>
      </c>
      <c r="C215">
        <v>400</v>
      </c>
      <c r="D215">
        <v>30</v>
      </c>
      <c r="E215">
        <v>2000</v>
      </c>
      <c r="F215">
        <v>276</v>
      </c>
      <c r="G215">
        <v>1</v>
      </c>
      <c r="H215">
        <v>1</v>
      </c>
    </row>
    <row r="216" spans="1:9" x14ac:dyDescent="0.25">
      <c r="A216" t="s">
        <v>62</v>
      </c>
      <c r="B216" t="s">
        <v>167</v>
      </c>
      <c r="C216">
        <v>400</v>
      </c>
      <c r="D216">
        <v>30</v>
      </c>
      <c r="E216">
        <v>2000</v>
      </c>
      <c r="F216">
        <v>276</v>
      </c>
      <c r="G216">
        <v>1</v>
      </c>
      <c r="H216">
        <v>1</v>
      </c>
    </row>
    <row r="217" spans="1:9" x14ac:dyDescent="0.25">
      <c r="A217" t="s">
        <v>63</v>
      </c>
      <c r="B217" t="s">
        <v>482</v>
      </c>
      <c r="C217">
        <v>800</v>
      </c>
      <c r="D217">
        <v>40</v>
      </c>
      <c r="E217">
        <v>18000</v>
      </c>
      <c r="F217">
        <v>225</v>
      </c>
      <c r="G217">
        <v>1</v>
      </c>
      <c r="H217">
        <v>1</v>
      </c>
    </row>
    <row r="218" spans="1:9" x14ac:dyDescent="0.25">
      <c r="A218" t="s">
        <v>63</v>
      </c>
      <c r="B218" t="s">
        <v>167</v>
      </c>
      <c r="C218">
        <v>800</v>
      </c>
      <c r="D218">
        <v>40</v>
      </c>
      <c r="E218">
        <v>18000</v>
      </c>
      <c r="F218">
        <v>225</v>
      </c>
      <c r="G218">
        <v>1</v>
      </c>
      <c r="H218">
        <v>1</v>
      </c>
    </row>
    <row r="219" spans="1:9" x14ac:dyDescent="0.25">
      <c r="A219" t="s">
        <v>64</v>
      </c>
      <c r="B219" t="s">
        <v>482</v>
      </c>
      <c r="C219">
        <v>350</v>
      </c>
      <c r="D219">
        <v>20</v>
      </c>
      <c r="E219">
        <v>30</v>
      </c>
      <c r="F219">
        <v>420</v>
      </c>
      <c r="G219">
        <v>1</v>
      </c>
      <c r="H219">
        <v>1</v>
      </c>
    </row>
    <row r="220" spans="1:9" x14ac:dyDescent="0.25">
      <c r="A220" t="s">
        <v>64</v>
      </c>
      <c r="B220" t="s">
        <v>167</v>
      </c>
      <c r="C220">
        <v>350</v>
      </c>
      <c r="D220">
        <v>20</v>
      </c>
      <c r="E220">
        <v>30</v>
      </c>
      <c r="F220">
        <v>420</v>
      </c>
      <c r="G220">
        <v>1</v>
      </c>
      <c r="H220">
        <v>1</v>
      </c>
    </row>
    <row r="221" spans="1:9" x14ac:dyDescent="0.25">
      <c r="A221" t="s">
        <v>65</v>
      </c>
      <c r="B221" t="s">
        <v>482</v>
      </c>
      <c r="C221">
        <v>4000</v>
      </c>
      <c r="D221">
        <v>85</v>
      </c>
      <c r="E221">
        <v>160000</v>
      </c>
      <c r="F221">
        <v>15</v>
      </c>
      <c r="G221">
        <v>1</v>
      </c>
      <c r="H221">
        <v>1</v>
      </c>
    </row>
    <row r="222" spans="1:9" x14ac:dyDescent="0.25">
      <c r="A222" t="s">
        <v>65</v>
      </c>
      <c r="B222" t="s">
        <v>167</v>
      </c>
      <c r="C222">
        <v>4000</v>
      </c>
      <c r="D222">
        <v>85</v>
      </c>
      <c r="E222" s="2">
        <v>175000</v>
      </c>
      <c r="F222">
        <v>15</v>
      </c>
      <c r="G222" s="2">
        <v>0.85</v>
      </c>
      <c r="H222" s="2">
        <v>0.85</v>
      </c>
      <c r="I222" s="2">
        <v>0.85</v>
      </c>
    </row>
    <row r="223" spans="1:9" x14ac:dyDescent="0.25">
      <c r="A223" t="s">
        <v>66</v>
      </c>
      <c r="B223" t="s">
        <v>482</v>
      </c>
      <c r="C223">
        <v>300</v>
      </c>
      <c r="D223">
        <v>20</v>
      </c>
      <c r="E223">
        <v>5000</v>
      </c>
      <c r="F223">
        <v>125</v>
      </c>
      <c r="G223">
        <v>1</v>
      </c>
      <c r="H223">
        <v>1</v>
      </c>
    </row>
    <row r="224" spans="1:9" x14ac:dyDescent="0.25">
      <c r="A224" t="s">
        <v>66</v>
      </c>
      <c r="B224" t="s">
        <v>167</v>
      </c>
      <c r="C224">
        <v>300</v>
      </c>
      <c r="D224">
        <v>20</v>
      </c>
      <c r="E224">
        <v>5000</v>
      </c>
      <c r="F224">
        <v>125</v>
      </c>
      <c r="G224">
        <v>1</v>
      </c>
      <c r="H224">
        <v>1</v>
      </c>
    </row>
    <row r="225" spans="1:8" x14ac:dyDescent="0.25">
      <c r="A225" t="s">
        <v>67</v>
      </c>
      <c r="B225" t="s">
        <v>482</v>
      </c>
      <c r="C225">
        <v>300</v>
      </c>
      <c r="D225">
        <v>20</v>
      </c>
      <c r="E225">
        <v>5000</v>
      </c>
      <c r="F225">
        <v>125</v>
      </c>
      <c r="G225">
        <v>1</v>
      </c>
      <c r="H225">
        <v>1</v>
      </c>
    </row>
    <row r="226" spans="1:8" x14ac:dyDescent="0.25">
      <c r="A226" t="s">
        <v>67</v>
      </c>
      <c r="B226" t="s">
        <v>167</v>
      </c>
      <c r="C226">
        <v>300</v>
      </c>
      <c r="D226">
        <v>20</v>
      </c>
      <c r="E226">
        <v>5000</v>
      </c>
      <c r="F226">
        <v>125</v>
      </c>
      <c r="G226">
        <v>1</v>
      </c>
      <c r="H22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CA150"/>
  <sheetViews>
    <sheetView tabSelected="1" zoomScale="115" zoomScaleNormal="115" workbookViewId="0">
      <pane xSplit="1" ySplit="1" topLeftCell="AP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48.28515625" bestFit="1" customWidth="1"/>
    <col min="2" max="2" width="7.5703125" hidden="1" customWidth="1"/>
    <col min="3" max="3" width="9.7109375" hidden="1" customWidth="1"/>
    <col min="4" max="4" width="18" hidden="1" customWidth="1"/>
    <col min="5" max="5" width="15" hidden="1" customWidth="1"/>
    <col min="6" max="7" width="15.28515625" hidden="1" customWidth="1"/>
    <col min="8" max="8" width="16.42578125" hidden="1" customWidth="1"/>
    <col min="9" max="9" width="24.85546875" hidden="1" customWidth="1"/>
    <col min="10" max="10" width="13.42578125" hidden="1" customWidth="1"/>
    <col min="11" max="11" width="17" hidden="1" customWidth="1"/>
    <col min="12" max="12" width="0" hidden="1" customWidth="1"/>
    <col min="13" max="13" width="11.140625" hidden="1" customWidth="1"/>
    <col min="14" max="14" width="12.140625" hidden="1" customWidth="1"/>
    <col min="15" max="15" width="16.42578125" hidden="1" customWidth="1"/>
    <col min="16" max="16" width="8.140625" hidden="1" customWidth="1"/>
    <col min="17" max="17" width="20.140625" hidden="1" customWidth="1"/>
    <col min="18" max="18" width="22.140625" hidden="1" customWidth="1"/>
    <col min="19" max="19" width="15.42578125" hidden="1" customWidth="1"/>
    <col min="20" max="20" width="9.42578125" hidden="1" customWidth="1"/>
    <col min="21" max="21" width="11.5703125" hidden="1" customWidth="1"/>
    <col min="22" max="22" width="10.5703125" hidden="1" customWidth="1"/>
    <col min="23" max="23" width="19.7109375" hidden="1" customWidth="1"/>
    <col min="24" max="24" width="20.7109375" hidden="1" customWidth="1"/>
    <col min="25" max="25" width="24.28515625" hidden="1" customWidth="1"/>
    <col min="26" max="26" width="22" hidden="1" customWidth="1"/>
    <col min="27" max="27" width="16.140625" hidden="1" customWidth="1"/>
    <col min="28" max="28" width="11.28515625" hidden="1" customWidth="1"/>
    <col min="29" max="29" width="19.42578125" hidden="1" customWidth="1"/>
    <col min="30" max="30" width="2" hidden="1" customWidth="1"/>
    <col min="31" max="31" width="21.7109375" hidden="1" customWidth="1"/>
    <col min="32" max="32" width="8.85546875" hidden="1" customWidth="1"/>
    <col min="33" max="33" width="12" hidden="1" customWidth="1"/>
    <col min="34" max="34" width="13.28515625" hidden="1" customWidth="1"/>
    <col min="35" max="35" width="13.85546875" hidden="1" customWidth="1"/>
    <col min="36" max="36" width="11.140625" hidden="1" customWidth="1"/>
    <col min="37" max="37" width="9.7109375" hidden="1" customWidth="1"/>
    <col min="38" max="38" width="18" hidden="1" customWidth="1"/>
    <col min="39" max="39" width="15" hidden="1" customWidth="1"/>
    <col min="40" max="40" width="15.28515625" hidden="1" customWidth="1"/>
    <col min="41" max="41" width="17.42578125" hidden="1" customWidth="1"/>
    <col min="42" max="42" width="6.85546875" style="5" bestFit="1" customWidth="1"/>
    <col min="43" max="43" width="13.28515625" bestFit="1" customWidth="1"/>
    <col min="44" max="44" width="8.7109375" style="5" bestFit="1" customWidth="1"/>
    <col min="45" max="45" width="10.5703125" style="5" bestFit="1" customWidth="1"/>
    <col min="46" max="46" width="10.7109375" style="5" hidden="1" customWidth="1"/>
    <col min="47" max="47" width="8.28515625" style="5" hidden="1" customWidth="1"/>
    <col min="48" max="48" width="7.5703125" style="5" bestFit="1" customWidth="1"/>
    <col min="49" max="49" width="5.5703125" style="5" bestFit="1" customWidth="1"/>
    <col min="50" max="50" width="9.42578125" style="5" bestFit="1" customWidth="1"/>
    <col min="51" max="52" width="10.7109375" style="5" hidden="1" customWidth="1"/>
    <col min="53" max="53" width="7.5703125" style="5" bestFit="1" customWidth="1"/>
    <col min="54" max="59" width="10.7109375" style="5" hidden="1" customWidth="1"/>
    <col min="60" max="60" width="12.85546875" style="5" bestFit="1" customWidth="1"/>
    <col min="61" max="62" width="9.5703125" style="5" bestFit="1" customWidth="1"/>
    <col min="63" max="64" width="10.7109375" style="5" hidden="1" customWidth="1"/>
    <col min="65" max="65" width="7.5703125" style="5" bestFit="1" customWidth="1"/>
    <col min="66" max="66" width="10.7109375" style="5" customWidth="1"/>
    <col min="67" max="67" width="10.28515625" style="5" bestFit="1" customWidth="1"/>
    <col min="68" max="69" width="10.7109375" style="5" hidden="1" customWidth="1"/>
    <col min="70" max="70" width="7.5703125" style="5" bestFit="1" customWidth="1"/>
    <col min="71" max="78" width="10.7109375" style="5" hidden="1" customWidth="1"/>
    <col min="80" max="80" width="14" bestFit="1" customWidth="1"/>
  </cols>
  <sheetData>
    <row r="1" spans="1:79" s="1" customFormat="1" x14ac:dyDescent="0.25">
      <c r="A1" s="1" t="s">
        <v>199</v>
      </c>
      <c r="B1" s="1" t="s">
        <v>166</v>
      </c>
      <c r="C1" s="1" t="s">
        <v>225</v>
      </c>
      <c r="D1" s="1" t="s">
        <v>226</v>
      </c>
      <c r="E1" s="1" t="s">
        <v>227</v>
      </c>
      <c r="F1" s="1" t="s">
        <v>228</v>
      </c>
      <c r="G1" s="1" t="s">
        <v>200</v>
      </c>
      <c r="H1" s="1" t="s">
        <v>201</v>
      </c>
      <c r="I1" s="1" t="s">
        <v>440</v>
      </c>
      <c r="J1" s="1" t="s">
        <v>441</v>
      </c>
      <c r="K1" s="1" t="s">
        <v>202</v>
      </c>
      <c r="L1" s="1" t="s">
        <v>203</v>
      </c>
      <c r="M1" s="1" t="s">
        <v>204</v>
      </c>
      <c r="N1" s="1" t="s">
        <v>205</v>
      </c>
      <c r="O1" s="1" t="s">
        <v>206</v>
      </c>
      <c r="P1" s="1" t="s">
        <v>207</v>
      </c>
      <c r="Q1" s="1" t="s">
        <v>442</v>
      </c>
      <c r="R1" s="1" t="s">
        <v>443</v>
      </c>
      <c r="S1" s="1" t="s">
        <v>208</v>
      </c>
      <c r="T1" s="1" t="s">
        <v>209</v>
      </c>
      <c r="U1" s="1" t="s">
        <v>210</v>
      </c>
      <c r="V1" s="1" t="s">
        <v>211</v>
      </c>
      <c r="W1" s="1" t="s">
        <v>212</v>
      </c>
      <c r="X1" s="1" t="s">
        <v>213</v>
      </c>
      <c r="Y1" s="1" t="s">
        <v>214</v>
      </c>
      <c r="Z1" s="1" t="s">
        <v>215</v>
      </c>
      <c r="AA1" s="1" t="s">
        <v>216</v>
      </c>
      <c r="AB1" s="1" t="s">
        <v>446</v>
      </c>
      <c r="AC1" s="1" t="s">
        <v>445</v>
      </c>
      <c r="AD1" s="1" t="s">
        <v>446</v>
      </c>
      <c r="AE1" s="1" t="s">
        <v>444</v>
      </c>
      <c r="AF1" s="1" t="s">
        <v>220</v>
      </c>
      <c r="AG1" s="1" t="s">
        <v>221</v>
      </c>
      <c r="AH1" s="1" t="s">
        <v>222</v>
      </c>
      <c r="AI1" s="1" t="s">
        <v>223</v>
      </c>
      <c r="AJ1" s="1" t="s">
        <v>224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217</v>
      </c>
      <c r="AP1" s="4" t="s">
        <v>538</v>
      </c>
      <c r="AQ1" s="1" t="s">
        <v>528</v>
      </c>
      <c r="AR1" s="4" t="s">
        <v>530</v>
      </c>
      <c r="AS1" s="4" t="s">
        <v>529</v>
      </c>
      <c r="AT1" s="4" t="s">
        <v>526</v>
      </c>
      <c r="AU1" s="4" t="s">
        <v>481</v>
      </c>
      <c r="AV1" s="4" t="s">
        <v>525</v>
      </c>
      <c r="AW1" s="4" t="s">
        <v>531</v>
      </c>
      <c r="AX1" s="4" t="s">
        <v>532</v>
      </c>
      <c r="AY1" s="4" t="s">
        <v>526</v>
      </c>
      <c r="AZ1" s="4" t="s">
        <v>481</v>
      </c>
      <c r="BA1" s="4" t="s">
        <v>525</v>
      </c>
      <c r="BB1" s="4" t="s">
        <v>454</v>
      </c>
      <c r="BC1" s="4" t="s">
        <v>456</v>
      </c>
      <c r="BD1" s="4" t="s">
        <v>457</v>
      </c>
      <c r="BE1" s="4" t="s">
        <v>459</v>
      </c>
      <c r="BF1" s="4" t="s">
        <v>462</v>
      </c>
      <c r="BG1" s="4" t="s">
        <v>458</v>
      </c>
      <c r="BH1" s="4" t="s">
        <v>533</v>
      </c>
      <c r="BI1" s="4" t="s">
        <v>535</v>
      </c>
      <c r="BJ1" s="4" t="s">
        <v>534</v>
      </c>
      <c r="BK1" s="4" t="s">
        <v>526</v>
      </c>
      <c r="BL1" s="4" t="s">
        <v>481</v>
      </c>
      <c r="BM1" s="4" t="s">
        <v>525</v>
      </c>
      <c r="BN1" s="4" t="s">
        <v>536</v>
      </c>
      <c r="BO1" s="4" t="s">
        <v>537</v>
      </c>
      <c r="BP1" s="4" t="s">
        <v>526</v>
      </c>
      <c r="BQ1" s="4" t="s">
        <v>481</v>
      </c>
      <c r="BR1" s="4" t="s">
        <v>525</v>
      </c>
      <c r="BS1" s="4" t="s">
        <v>196</v>
      </c>
      <c r="BT1" s="4" t="s">
        <v>465</v>
      </c>
      <c r="BU1" s="4" t="s">
        <v>466</v>
      </c>
      <c r="BV1" s="4" t="s">
        <v>197</v>
      </c>
      <c r="BW1" s="4" t="s">
        <v>198</v>
      </c>
      <c r="BX1" s="4" t="s">
        <v>467</v>
      </c>
      <c r="BY1" s="4" t="s">
        <v>468</v>
      </c>
      <c r="BZ1" s="4" t="s">
        <v>469</v>
      </c>
      <c r="CA1" s="1" t="s">
        <v>527</v>
      </c>
    </row>
    <row r="2" spans="1:79" hidden="1" x14ac:dyDescent="0.25">
      <c r="A2" t="s">
        <v>229</v>
      </c>
      <c r="B2" t="s">
        <v>167</v>
      </c>
      <c r="C2" t="s">
        <v>387</v>
      </c>
      <c r="D2" t="s">
        <v>388</v>
      </c>
      <c r="E2">
        <v>135</v>
      </c>
      <c r="F2">
        <v>135</v>
      </c>
      <c r="G2" t="s">
        <v>383</v>
      </c>
      <c r="H2" t="s">
        <v>384</v>
      </c>
      <c r="I2" t="s">
        <v>385</v>
      </c>
      <c r="J2" t="s">
        <v>386</v>
      </c>
      <c r="K2">
        <v>1200</v>
      </c>
      <c r="L2" s="2" t="s">
        <v>373</v>
      </c>
      <c r="M2">
        <v>0</v>
      </c>
      <c r="N2">
        <v>0</v>
      </c>
      <c r="O2">
        <v>0</v>
      </c>
      <c r="P2">
        <v>0</v>
      </c>
      <c r="Q2">
        <v>1</v>
      </c>
      <c r="R2">
        <v>1</v>
      </c>
      <c r="S2">
        <v>0</v>
      </c>
      <c r="T2">
        <v>2.1</v>
      </c>
      <c r="U2">
        <v>0</v>
      </c>
      <c r="V2">
        <v>0</v>
      </c>
      <c r="W2">
        <v>0</v>
      </c>
      <c r="X2">
        <v>0</v>
      </c>
      <c r="Y2">
        <v>260</v>
      </c>
      <c r="Z2">
        <v>40</v>
      </c>
      <c r="AA2">
        <v>0.1</v>
      </c>
      <c r="AB2" s="2" t="s">
        <v>374</v>
      </c>
      <c r="AC2">
        <v>0</v>
      </c>
      <c r="AD2">
        <v>0</v>
      </c>
      <c r="AE2">
        <v>0</v>
      </c>
      <c r="AF2">
        <v>10</v>
      </c>
      <c r="AG2">
        <v>0</v>
      </c>
      <c r="AH2">
        <v>0</v>
      </c>
      <c r="AI2">
        <v>0</v>
      </c>
      <c r="AJ2">
        <v>0</v>
      </c>
      <c r="AO2">
        <v>5</v>
      </c>
      <c r="AP2"/>
      <c r="AQ2">
        <v>1</v>
      </c>
      <c r="AT2" s="5" t="str">
        <f>IF(ISBLANK(AR2)=TRUE,"Blank",IF(AR2="","Empty
String",IF(AR2=0,"Zero","Number")))</f>
        <v>Blank</v>
      </c>
      <c r="AU2" s="5" t="str">
        <f>IF(ISBLANK(AS2)=TRUE,"Blank",IF(AS2="","Empty
String",IF(AS2=0,"Zero","Number")))</f>
        <v>Blank</v>
      </c>
      <c r="AV2" s="5" t="str">
        <f>IF(AND(AT2=AU2,AR2=AS2),"","Diff")</f>
        <v/>
      </c>
      <c r="AY2" s="5" t="str">
        <f>IF(ISBLANK(AW2)=TRUE,"Blank",IF(AW2="","Empty
String",IF(AW2=0,"Zero","Number")))</f>
        <v>Blank</v>
      </c>
      <c r="AZ2" s="5" t="str">
        <f>IF(ISBLANK(AX2)=TRUE,"Blank",IF(AX2="","Empty
String",IF(AX2=0,"Zero","Number")))</f>
        <v>Blank</v>
      </c>
      <c r="BA2" s="5" t="str">
        <f>IF(AND(AY2=AZ2,AW2=AX2),"","Diff")</f>
        <v/>
      </c>
      <c r="BC2" s="5">
        <v>1.08</v>
      </c>
      <c r="BD2" s="5">
        <v>0.45</v>
      </c>
      <c r="BE2" s="5">
        <v>0.2</v>
      </c>
      <c r="BF2" s="5">
        <v>2.5</v>
      </c>
      <c r="BH2" s="5">
        <v>1</v>
      </c>
      <c r="BI2" s="5">
        <v>0.06</v>
      </c>
      <c r="BJ2" s="5">
        <v>0.06</v>
      </c>
      <c r="BK2" s="5" t="str">
        <f>IF(ISBLANK(BI2)=TRUE,"Blank",IF(BI2="","Empty
String",IF(BI2=0,"Zero","Number")))</f>
        <v>Number</v>
      </c>
      <c r="BL2" s="5" t="str">
        <f>IF(ISBLANK(BJ2)=TRUE,"Blank",IF(BJ2="","Empty
String",IF(BJ2=0,"Zero","Number")))</f>
        <v>Number</v>
      </c>
      <c r="BM2" s="5" t="str">
        <f>IF(AND(BK2=BL2,BI2=BJ2),"","Diff")</f>
        <v/>
      </c>
      <c r="BN2" s="5">
        <v>0.12</v>
      </c>
      <c r="BO2" s="5">
        <v>0.12</v>
      </c>
      <c r="BP2" s="5" t="str">
        <f>IF(ISBLANK(BN2)=TRUE,"Blank",IF(BN2="","Empty
String",IF(BN2=0,"Zero","Number")))</f>
        <v>Number</v>
      </c>
      <c r="BQ2" s="5" t="str">
        <f>IF(ISBLANK(BO2)=TRUE,"Blank",IF(BO2="","Empty
String",IF(BO2=0,"Zero","Number")))</f>
        <v>Number</v>
      </c>
      <c r="BR2" s="5" t="str">
        <f>IF(AND(BP2=BQ2,BN2=BO2),"","Diff")</f>
        <v/>
      </c>
      <c r="BS2" s="5">
        <v>0.8</v>
      </c>
      <c r="BT2" s="5">
        <v>1</v>
      </c>
      <c r="BU2" s="5">
        <v>1</v>
      </c>
      <c r="BX2" s="5">
        <v>0.9</v>
      </c>
      <c r="CA2" t="str">
        <f>IF(OR(AV2="Diff",BA2="Diff",BM2="Diff",BR2="Diff"),"Diff","")</f>
        <v/>
      </c>
    </row>
    <row r="3" spans="1:79" hidden="1" x14ac:dyDescent="0.25">
      <c r="A3" t="s">
        <v>230</v>
      </c>
      <c r="B3" t="s">
        <v>167</v>
      </c>
      <c r="C3" t="s">
        <v>387</v>
      </c>
      <c r="D3" t="s">
        <v>388</v>
      </c>
      <c r="E3">
        <v>190</v>
      </c>
      <c r="F3">
        <v>190</v>
      </c>
      <c r="G3" t="s">
        <v>383</v>
      </c>
      <c r="H3" t="s">
        <v>384</v>
      </c>
      <c r="I3" t="s">
        <v>389</v>
      </c>
      <c r="J3" t="s">
        <v>386</v>
      </c>
      <c r="K3">
        <v>1200</v>
      </c>
      <c r="L3" s="2" t="s">
        <v>373</v>
      </c>
      <c r="M3">
        <v>0</v>
      </c>
      <c r="N3">
        <v>0</v>
      </c>
      <c r="O3">
        <v>0</v>
      </c>
      <c r="P3">
        <v>0</v>
      </c>
      <c r="Q3">
        <v>1</v>
      </c>
      <c r="R3">
        <v>1</v>
      </c>
      <c r="S3">
        <v>0</v>
      </c>
      <c r="T3">
        <v>2.1</v>
      </c>
      <c r="U3">
        <v>0</v>
      </c>
      <c r="V3">
        <v>0</v>
      </c>
      <c r="W3">
        <v>0</v>
      </c>
      <c r="X3">
        <v>0</v>
      </c>
      <c r="Y3">
        <v>260</v>
      </c>
      <c r="Z3">
        <v>40</v>
      </c>
      <c r="AA3">
        <v>0.1</v>
      </c>
      <c r="AB3" s="2" t="s">
        <v>374</v>
      </c>
      <c r="AC3">
        <v>0</v>
      </c>
      <c r="AD3">
        <v>0</v>
      </c>
      <c r="AE3">
        <v>0</v>
      </c>
      <c r="AF3">
        <v>10</v>
      </c>
      <c r="AG3">
        <v>0</v>
      </c>
      <c r="AH3">
        <v>0</v>
      </c>
      <c r="AI3">
        <v>0</v>
      </c>
      <c r="AJ3">
        <v>0</v>
      </c>
      <c r="AO3">
        <v>5</v>
      </c>
      <c r="AP3"/>
      <c r="AQ3">
        <v>1</v>
      </c>
      <c r="AT3" s="5" t="str">
        <f t="shared" ref="AT3:AT66" si="0">IF(ISBLANK(AR3)=TRUE,"Blank",IF(AR3="","Empty
String",IF(AR3=0,"Zero","Number")))</f>
        <v>Blank</v>
      </c>
      <c r="AU3" s="5" t="str">
        <f t="shared" ref="AU3:AU66" si="1">IF(ISBLANK(AS3)=TRUE,"Blank",IF(AS3="","Empty
String",IF(AS3=0,"Zero","Number")))</f>
        <v>Blank</v>
      </c>
      <c r="AV3" s="5" t="str">
        <f t="shared" ref="AV3:AV66" si="2">IF(AND(AT3=AU3,AR3=AS3),"","Diff")</f>
        <v/>
      </c>
      <c r="AY3" s="5" t="str">
        <f t="shared" ref="AY3:AY66" si="3">IF(ISBLANK(AW3)=TRUE,"Blank",IF(AW3="","Empty
String",IF(AW3=0,"Zero","Number")))</f>
        <v>Blank</v>
      </c>
      <c r="AZ3" s="5" t="str">
        <f t="shared" ref="AZ3:AZ66" si="4">IF(ISBLANK(AX3)=TRUE,"Blank",IF(AX3="","Empty
String",IF(AX3=0,"Zero","Number")))</f>
        <v>Blank</v>
      </c>
      <c r="BA3" s="5" t="str">
        <f t="shared" ref="BA3:BA66" si="5">IF(AND(AY3=AZ3,AW3=AX3),"","Diff")</f>
        <v/>
      </c>
      <c r="BD3" s="5">
        <v>0.45</v>
      </c>
      <c r="BE3" s="5">
        <v>0.2</v>
      </c>
      <c r="BF3" s="5">
        <v>2.5</v>
      </c>
      <c r="BH3" s="5">
        <v>0</v>
      </c>
      <c r="BK3" s="5" t="str">
        <f t="shared" ref="BK3:BK66" si="6">IF(ISBLANK(BI3)=TRUE,"Blank",IF(BI3="","Empty
String",IF(BI3=0,"Zero","Number")))</f>
        <v>Blank</v>
      </c>
      <c r="BL3" s="5" t="str">
        <f t="shared" ref="BL3:BL66" si="7">IF(ISBLANK(BJ3)=TRUE,"Blank",IF(BJ3="","Empty
String",IF(BJ3=0,"Zero","Number")))</f>
        <v>Blank</v>
      </c>
      <c r="BM3" s="5" t="str">
        <f t="shared" ref="BM3:BM66" si="8">IF(AND(BK3=BL3,BI3=BJ3),"","Diff")</f>
        <v/>
      </c>
      <c r="BP3" s="5" t="str">
        <f t="shared" ref="BP3:BP66" si="9">IF(ISBLANK(BN3)=TRUE,"Blank",IF(BN3="","Empty
String",IF(BN3=0,"Zero","Number")))</f>
        <v>Blank</v>
      </c>
      <c r="BQ3" s="5" t="str">
        <f t="shared" ref="BQ3:BQ66" si="10">IF(ISBLANK(BO3)=TRUE,"Blank",IF(BO3="","Empty
String",IF(BO3=0,"Zero","Number")))</f>
        <v>Blank</v>
      </c>
      <c r="BR3" s="5" t="str">
        <f t="shared" ref="BR3:BR66" si="11">IF(AND(BP3=BQ3,BN3=BO3),"","Diff")</f>
        <v/>
      </c>
      <c r="BY3" s="5">
        <v>1</v>
      </c>
      <c r="CA3" t="str">
        <f>IF(OR(AV3="Diff",BA3="Diff",BM3="Diff",BR3="Diff"),"Diff","")</f>
        <v/>
      </c>
    </row>
    <row r="4" spans="1:79" hidden="1" x14ac:dyDescent="0.25">
      <c r="A4" t="s">
        <v>231</v>
      </c>
      <c r="B4" t="s">
        <v>167</v>
      </c>
      <c r="C4" t="s">
        <v>387</v>
      </c>
      <c r="D4" t="s">
        <v>388</v>
      </c>
      <c r="E4" s="2">
        <v>550</v>
      </c>
      <c r="F4" s="2">
        <v>550</v>
      </c>
      <c r="G4" t="s">
        <v>390</v>
      </c>
      <c r="H4" t="s">
        <v>384</v>
      </c>
      <c r="I4" t="s">
        <v>391</v>
      </c>
      <c r="J4" t="s">
        <v>392</v>
      </c>
      <c r="K4" s="2">
        <v>2000</v>
      </c>
      <c r="L4" s="2">
        <v>5000</v>
      </c>
      <c r="M4">
        <v>0</v>
      </c>
      <c r="N4">
        <v>0</v>
      </c>
      <c r="O4">
        <v>0</v>
      </c>
      <c r="P4">
        <v>0</v>
      </c>
      <c r="Q4">
        <v>1</v>
      </c>
      <c r="R4">
        <v>1</v>
      </c>
      <c r="S4">
        <v>1</v>
      </c>
      <c r="T4">
        <v>5</v>
      </c>
      <c r="U4">
        <v>0</v>
      </c>
      <c r="V4">
        <v>0</v>
      </c>
      <c r="W4">
        <v>1</v>
      </c>
      <c r="X4">
        <v>1</v>
      </c>
      <c r="Y4">
        <v>40</v>
      </c>
      <c r="Z4">
        <v>25</v>
      </c>
      <c r="AA4">
        <v>0.1</v>
      </c>
      <c r="AB4" s="2" t="s">
        <v>374</v>
      </c>
      <c r="AC4">
        <v>1</v>
      </c>
      <c r="AD4">
        <v>0</v>
      </c>
      <c r="AE4">
        <v>0</v>
      </c>
      <c r="AF4">
        <v>0</v>
      </c>
      <c r="AG4">
        <v>-160</v>
      </c>
      <c r="AH4">
        <v>160</v>
      </c>
      <c r="AI4">
        <v>0</v>
      </c>
      <c r="AJ4">
        <v>60</v>
      </c>
      <c r="AO4">
        <v>50</v>
      </c>
      <c r="AP4"/>
      <c r="AQ4">
        <v>1</v>
      </c>
      <c r="AT4" s="5" t="str">
        <f t="shared" si="0"/>
        <v>Blank</v>
      </c>
      <c r="AU4" s="5" t="str">
        <f t="shared" si="1"/>
        <v>Blank</v>
      </c>
      <c r="AV4" s="5" t="str">
        <f t="shared" si="2"/>
        <v/>
      </c>
      <c r="AY4" s="5" t="str">
        <f t="shared" si="3"/>
        <v>Blank</v>
      </c>
      <c r="AZ4" s="5" t="str">
        <f t="shared" si="4"/>
        <v>Blank</v>
      </c>
      <c r="BA4" s="5" t="str">
        <f t="shared" si="5"/>
        <v/>
      </c>
      <c r="BB4" s="5">
        <v>1</v>
      </c>
      <c r="BC4" s="5">
        <v>1</v>
      </c>
      <c r="BF4" s="5">
        <v>0.3</v>
      </c>
      <c r="BH4" s="5">
        <v>1</v>
      </c>
      <c r="BI4" s="5">
        <v>0.05</v>
      </c>
      <c r="BJ4" s="5">
        <v>0.05</v>
      </c>
      <c r="BK4" s="5" t="str">
        <f t="shared" si="6"/>
        <v>Number</v>
      </c>
      <c r="BL4" s="5" t="str">
        <f t="shared" si="7"/>
        <v>Number</v>
      </c>
      <c r="BM4" s="5" t="str">
        <f t="shared" si="8"/>
        <v/>
      </c>
      <c r="BN4" s="5">
        <v>0.1</v>
      </c>
      <c r="BO4" s="5">
        <v>0.1</v>
      </c>
      <c r="BP4" s="5" t="str">
        <f t="shared" si="9"/>
        <v>Number</v>
      </c>
      <c r="BQ4" s="5" t="str">
        <f t="shared" si="10"/>
        <v>Number</v>
      </c>
      <c r="BR4" s="5" t="str">
        <f t="shared" si="11"/>
        <v/>
      </c>
      <c r="BS4" s="5">
        <v>0.6</v>
      </c>
      <c r="BT4" s="5">
        <v>1</v>
      </c>
      <c r="BU4" s="5">
        <v>0.8</v>
      </c>
      <c r="BX4" s="5">
        <v>0.6</v>
      </c>
      <c r="CA4" t="str">
        <f>IF(OR(AV4="Diff",BA4="Diff",BM4="Diff",BR4="Diff"),"Diff","")</f>
        <v/>
      </c>
    </row>
    <row r="5" spans="1:79" hidden="1" x14ac:dyDescent="0.25">
      <c r="A5" t="s">
        <v>232</v>
      </c>
      <c r="B5" t="s">
        <v>167</v>
      </c>
      <c r="C5" t="s">
        <v>387</v>
      </c>
      <c r="D5" t="s">
        <v>388</v>
      </c>
      <c r="E5" s="2">
        <v>550</v>
      </c>
      <c r="F5" s="2">
        <v>550</v>
      </c>
      <c r="G5" t="s">
        <v>390</v>
      </c>
      <c r="H5" t="s">
        <v>384</v>
      </c>
      <c r="I5" t="s">
        <v>391</v>
      </c>
      <c r="J5" t="s">
        <v>392</v>
      </c>
      <c r="K5" s="2">
        <v>2000</v>
      </c>
      <c r="L5" s="2">
        <v>5000</v>
      </c>
      <c r="M5">
        <v>0</v>
      </c>
      <c r="N5">
        <v>0</v>
      </c>
      <c r="O5">
        <v>0</v>
      </c>
      <c r="P5">
        <v>0</v>
      </c>
      <c r="Q5">
        <v>1</v>
      </c>
      <c r="R5">
        <v>1</v>
      </c>
      <c r="S5">
        <v>1</v>
      </c>
      <c r="T5">
        <v>5</v>
      </c>
      <c r="U5">
        <v>0</v>
      </c>
      <c r="V5">
        <v>0</v>
      </c>
      <c r="W5">
        <v>1</v>
      </c>
      <c r="X5">
        <v>1</v>
      </c>
      <c r="Y5">
        <v>40</v>
      </c>
      <c r="Z5">
        <v>25</v>
      </c>
      <c r="AA5">
        <v>0.1</v>
      </c>
      <c r="AB5" s="2" t="s">
        <v>374</v>
      </c>
      <c r="AC5">
        <v>1</v>
      </c>
      <c r="AD5">
        <v>0</v>
      </c>
      <c r="AE5">
        <v>0</v>
      </c>
      <c r="AF5">
        <v>0</v>
      </c>
      <c r="AG5" s="2">
        <v>-160</v>
      </c>
      <c r="AH5" s="2">
        <v>160</v>
      </c>
      <c r="AI5">
        <v>0</v>
      </c>
      <c r="AJ5">
        <v>60</v>
      </c>
      <c r="AO5">
        <v>50</v>
      </c>
      <c r="AP5"/>
      <c r="AQ5">
        <v>1</v>
      </c>
      <c r="AT5" s="5" t="str">
        <f t="shared" si="0"/>
        <v>Blank</v>
      </c>
      <c r="AU5" s="5" t="str">
        <f t="shared" si="1"/>
        <v>Blank</v>
      </c>
      <c r="AV5" s="5" t="str">
        <f t="shared" si="2"/>
        <v/>
      </c>
      <c r="AY5" s="5" t="str">
        <f t="shared" si="3"/>
        <v>Blank</v>
      </c>
      <c r="AZ5" s="5" t="str">
        <f t="shared" si="4"/>
        <v>Blank</v>
      </c>
      <c r="BA5" s="5" t="str">
        <f t="shared" si="5"/>
        <v/>
      </c>
      <c r="BB5" s="5">
        <v>1</v>
      </c>
      <c r="BC5" s="5">
        <v>1</v>
      </c>
      <c r="BF5" s="5">
        <v>0.3</v>
      </c>
      <c r="BH5" s="5">
        <v>1</v>
      </c>
      <c r="BI5" s="5">
        <v>0.05</v>
      </c>
      <c r="BJ5" s="5">
        <v>0.05</v>
      </c>
      <c r="BK5" s="5" t="str">
        <f t="shared" si="6"/>
        <v>Number</v>
      </c>
      <c r="BL5" s="5" t="str">
        <f t="shared" si="7"/>
        <v>Number</v>
      </c>
      <c r="BM5" s="5" t="str">
        <f t="shared" si="8"/>
        <v/>
      </c>
      <c r="BN5" s="5">
        <v>0.1</v>
      </c>
      <c r="BO5" s="5">
        <v>0.1</v>
      </c>
      <c r="BP5" s="5" t="str">
        <f t="shared" si="9"/>
        <v>Number</v>
      </c>
      <c r="BQ5" s="5" t="str">
        <f t="shared" si="10"/>
        <v>Number</v>
      </c>
      <c r="BR5" s="5" t="str">
        <f t="shared" si="11"/>
        <v/>
      </c>
      <c r="BS5" s="5">
        <v>0.6</v>
      </c>
      <c r="BT5" s="5">
        <v>1</v>
      </c>
      <c r="BU5" s="5">
        <v>0.8</v>
      </c>
      <c r="BX5" s="5">
        <v>0.6</v>
      </c>
      <c r="CA5" t="str">
        <f>IF(OR(AV5="Diff",BA5="Diff",BM5="Diff",BR5="Diff"),"Diff","")</f>
        <v/>
      </c>
    </row>
    <row r="6" spans="1:79" hidden="1" x14ac:dyDescent="0.25">
      <c r="A6" t="s">
        <v>233</v>
      </c>
      <c r="B6" t="s">
        <v>167</v>
      </c>
      <c r="C6" t="s">
        <v>387</v>
      </c>
      <c r="D6" t="s">
        <v>388</v>
      </c>
      <c r="E6" s="2">
        <v>550</v>
      </c>
      <c r="F6" s="2">
        <v>550</v>
      </c>
      <c r="G6" t="s">
        <v>390</v>
      </c>
      <c r="H6" t="s">
        <v>384</v>
      </c>
      <c r="I6" t="s">
        <v>391</v>
      </c>
      <c r="J6" t="s">
        <v>392</v>
      </c>
      <c r="K6" s="2">
        <v>2000</v>
      </c>
      <c r="L6" s="2">
        <v>5000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5</v>
      </c>
      <c r="U6">
        <v>0</v>
      </c>
      <c r="V6">
        <v>0</v>
      </c>
      <c r="W6">
        <v>1</v>
      </c>
      <c r="X6">
        <v>1</v>
      </c>
      <c r="Y6">
        <v>40</v>
      </c>
      <c r="Z6">
        <v>25</v>
      </c>
      <c r="AA6">
        <v>0.1</v>
      </c>
      <c r="AB6" s="2" t="s">
        <v>374</v>
      </c>
      <c r="AC6">
        <v>1</v>
      </c>
      <c r="AD6">
        <v>0</v>
      </c>
      <c r="AE6">
        <v>0</v>
      </c>
      <c r="AF6">
        <v>0</v>
      </c>
      <c r="AG6" s="2">
        <v>-160</v>
      </c>
      <c r="AH6" s="2">
        <v>160</v>
      </c>
      <c r="AI6">
        <v>0</v>
      </c>
      <c r="AJ6">
        <v>60</v>
      </c>
      <c r="AO6">
        <v>50</v>
      </c>
      <c r="AP6"/>
      <c r="AQ6">
        <v>1</v>
      </c>
      <c r="AT6" s="5" t="str">
        <f t="shared" si="0"/>
        <v>Blank</v>
      </c>
      <c r="AU6" s="5" t="str">
        <f t="shared" si="1"/>
        <v>Blank</v>
      </c>
      <c r="AV6" s="5" t="str">
        <f t="shared" si="2"/>
        <v/>
      </c>
      <c r="AY6" s="5" t="str">
        <f t="shared" si="3"/>
        <v>Blank</v>
      </c>
      <c r="AZ6" s="5" t="str">
        <f t="shared" si="4"/>
        <v>Blank</v>
      </c>
      <c r="BA6" s="5" t="str">
        <f t="shared" si="5"/>
        <v/>
      </c>
      <c r="BB6" s="5">
        <v>1</v>
      </c>
      <c r="BC6" s="5">
        <v>1</v>
      </c>
      <c r="BF6" s="5">
        <v>0.3</v>
      </c>
      <c r="BH6" s="5">
        <v>1</v>
      </c>
      <c r="BI6" s="5">
        <v>0.05</v>
      </c>
      <c r="BJ6" s="5">
        <v>0.05</v>
      </c>
      <c r="BK6" s="5" t="str">
        <f t="shared" si="6"/>
        <v>Number</v>
      </c>
      <c r="BL6" s="5" t="str">
        <f t="shared" si="7"/>
        <v>Number</v>
      </c>
      <c r="BM6" s="5" t="str">
        <f t="shared" si="8"/>
        <v/>
      </c>
      <c r="BN6" s="5">
        <v>0.1</v>
      </c>
      <c r="BO6" s="5">
        <v>0.1</v>
      </c>
      <c r="BP6" s="5" t="str">
        <f t="shared" si="9"/>
        <v>Number</v>
      </c>
      <c r="BQ6" s="5" t="str">
        <f t="shared" si="10"/>
        <v>Number</v>
      </c>
      <c r="BR6" s="5" t="str">
        <f t="shared" si="11"/>
        <v/>
      </c>
      <c r="BS6" s="5">
        <v>0.6</v>
      </c>
      <c r="BT6" s="5">
        <v>1</v>
      </c>
      <c r="BU6" s="5">
        <v>0.8</v>
      </c>
      <c r="BX6" s="5">
        <v>0.6</v>
      </c>
      <c r="CA6" t="str">
        <f>IF(OR(AV6="Diff",BA6="Diff",BM6="Diff",BR6="Diff"),"Diff","")</f>
        <v/>
      </c>
    </row>
    <row r="7" spans="1:79" hidden="1" x14ac:dyDescent="0.25">
      <c r="A7" t="s">
        <v>234</v>
      </c>
      <c r="B7" t="s">
        <v>167</v>
      </c>
      <c r="C7" t="s">
        <v>387</v>
      </c>
      <c r="D7" t="s">
        <v>388</v>
      </c>
      <c r="E7" s="2">
        <v>13500</v>
      </c>
      <c r="F7" s="2">
        <v>13500</v>
      </c>
      <c r="G7" t="s">
        <v>390</v>
      </c>
      <c r="H7" t="s">
        <v>393</v>
      </c>
      <c r="I7" t="s">
        <v>394</v>
      </c>
      <c r="J7" t="s">
        <v>392</v>
      </c>
      <c r="K7">
        <v>0</v>
      </c>
      <c r="L7">
        <v>6000</v>
      </c>
      <c r="M7">
        <v>0</v>
      </c>
      <c r="N7">
        <v>6</v>
      </c>
      <c r="O7">
        <v>2</v>
      </c>
      <c r="P7">
        <v>0</v>
      </c>
      <c r="Q7">
        <v>20</v>
      </c>
      <c r="R7">
        <v>0</v>
      </c>
      <c r="S7">
        <v>1</v>
      </c>
      <c r="T7">
        <v>15</v>
      </c>
      <c r="U7">
        <v>0</v>
      </c>
      <c r="V7">
        <v>0</v>
      </c>
      <c r="W7">
        <v>1</v>
      </c>
      <c r="X7">
        <v>1</v>
      </c>
      <c r="Y7" s="2">
        <v>15</v>
      </c>
      <c r="Z7" s="2">
        <v>15</v>
      </c>
      <c r="AA7">
        <v>0.1</v>
      </c>
      <c r="AB7" s="2" t="s">
        <v>374</v>
      </c>
      <c r="AC7">
        <v>1</v>
      </c>
      <c r="AD7">
        <v>0</v>
      </c>
      <c r="AE7">
        <v>2000</v>
      </c>
      <c r="AF7">
        <v>20</v>
      </c>
      <c r="AG7">
        <v>-180</v>
      </c>
      <c r="AH7">
        <v>180</v>
      </c>
      <c r="AI7">
        <v>-4</v>
      </c>
      <c r="AJ7">
        <v>60</v>
      </c>
      <c r="AK7" t="s">
        <v>387</v>
      </c>
      <c r="AL7" t="s">
        <v>395</v>
      </c>
      <c r="AM7" s="2">
        <v>-400</v>
      </c>
      <c r="AN7" s="2">
        <v>-400</v>
      </c>
      <c r="AO7">
        <v>100</v>
      </c>
      <c r="AP7"/>
      <c r="AQ7">
        <v>1</v>
      </c>
      <c r="AT7" s="5" t="str">
        <f t="shared" si="0"/>
        <v>Blank</v>
      </c>
      <c r="AU7" s="5" t="str">
        <f t="shared" si="1"/>
        <v>Blank</v>
      </c>
      <c r="AV7" s="5" t="str">
        <f t="shared" si="2"/>
        <v/>
      </c>
      <c r="AY7" s="5" t="str">
        <f t="shared" si="3"/>
        <v>Blank</v>
      </c>
      <c r="AZ7" s="5" t="str">
        <f t="shared" si="4"/>
        <v>Blank</v>
      </c>
      <c r="BA7" s="5" t="str">
        <f t="shared" si="5"/>
        <v/>
      </c>
      <c r="BB7" s="5">
        <v>1</v>
      </c>
      <c r="BC7" s="5">
        <v>1</v>
      </c>
      <c r="BF7" s="5">
        <v>0.3</v>
      </c>
      <c r="BH7" s="5">
        <v>1</v>
      </c>
      <c r="BI7" s="5">
        <v>0</v>
      </c>
      <c r="BJ7" s="5">
        <v>0</v>
      </c>
      <c r="BK7" s="5" t="str">
        <f t="shared" si="6"/>
        <v>Zero</v>
      </c>
      <c r="BL7" s="5" t="str">
        <f t="shared" si="7"/>
        <v>Zero</v>
      </c>
      <c r="BM7" s="5" t="str">
        <f t="shared" si="8"/>
        <v/>
      </c>
      <c r="BN7" s="5">
        <v>0</v>
      </c>
      <c r="BO7" s="5">
        <v>0</v>
      </c>
      <c r="BP7" s="5" t="str">
        <f t="shared" si="9"/>
        <v>Zero</v>
      </c>
      <c r="BQ7" s="5" t="str">
        <f t="shared" si="10"/>
        <v>Zero</v>
      </c>
      <c r="BR7" s="5" t="str">
        <f t="shared" si="11"/>
        <v/>
      </c>
      <c r="BS7" s="5">
        <v>1</v>
      </c>
      <c r="BT7" s="5">
        <v>1</v>
      </c>
      <c r="BU7" s="5">
        <v>1</v>
      </c>
      <c r="CA7" t="str">
        <f>IF(OR(AV7="Diff",BA7="Diff",BM7="Diff",BR7="Diff"),"Diff","")</f>
        <v/>
      </c>
    </row>
    <row r="8" spans="1:79" hidden="1" x14ac:dyDescent="0.25">
      <c r="A8" t="s">
        <v>235</v>
      </c>
      <c r="B8" t="s">
        <v>167</v>
      </c>
      <c r="C8" t="s">
        <v>387</v>
      </c>
      <c r="D8" t="s">
        <v>388</v>
      </c>
      <c r="E8" s="2">
        <v>1550</v>
      </c>
      <c r="F8" s="2">
        <v>1550</v>
      </c>
      <c r="G8" t="s">
        <v>396</v>
      </c>
      <c r="H8" t="s">
        <v>397</v>
      </c>
      <c r="I8" t="s">
        <v>398</v>
      </c>
      <c r="J8" t="s">
        <v>386</v>
      </c>
      <c r="K8">
        <v>120</v>
      </c>
      <c r="L8">
        <v>4500</v>
      </c>
      <c r="M8">
        <v>0</v>
      </c>
      <c r="N8">
        <v>0</v>
      </c>
      <c r="O8">
        <v>0</v>
      </c>
      <c r="P8">
        <v>0</v>
      </c>
      <c r="Q8">
        <v>1</v>
      </c>
      <c r="R8">
        <v>0</v>
      </c>
      <c r="S8">
        <v>1</v>
      </c>
      <c r="T8">
        <v>15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0.1</v>
      </c>
      <c r="AB8" s="2" t="s">
        <v>374</v>
      </c>
      <c r="AC8">
        <v>0</v>
      </c>
      <c r="AD8">
        <v>0</v>
      </c>
      <c r="AE8">
        <v>0</v>
      </c>
      <c r="AF8">
        <v>179</v>
      </c>
      <c r="AG8">
        <v>0</v>
      </c>
      <c r="AH8">
        <v>0</v>
      </c>
      <c r="AI8">
        <v>0</v>
      </c>
      <c r="AJ8">
        <v>0</v>
      </c>
      <c r="AO8">
        <v>30</v>
      </c>
      <c r="AP8"/>
      <c r="AQ8">
        <v>1</v>
      </c>
      <c r="AT8" s="5" t="str">
        <f t="shared" si="0"/>
        <v>Blank</v>
      </c>
      <c r="AU8" s="5" t="str">
        <f t="shared" si="1"/>
        <v>Blank</v>
      </c>
      <c r="AV8" s="5" t="str">
        <f t="shared" si="2"/>
        <v/>
      </c>
      <c r="AY8" s="5" t="str">
        <f t="shared" si="3"/>
        <v>Blank</v>
      </c>
      <c r="AZ8" s="5" t="str">
        <f t="shared" si="4"/>
        <v>Blank</v>
      </c>
      <c r="BA8" s="5" t="str">
        <f t="shared" si="5"/>
        <v/>
      </c>
      <c r="BB8" s="5">
        <v>0.98099999999999998</v>
      </c>
      <c r="BC8" s="5">
        <v>1</v>
      </c>
      <c r="BH8" s="5">
        <v>1</v>
      </c>
      <c r="BI8" s="5">
        <v>0</v>
      </c>
      <c r="BJ8" s="5">
        <v>0</v>
      </c>
      <c r="BK8" s="5" t="str">
        <f t="shared" si="6"/>
        <v>Zero</v>
      </c>
      <c r="BL8" s="5" t="str">
        <f t="shared" si="7"/>
        <v>Zero</v>
      </c>
      <c r="BM8" s="5" t="str">
        <f t="shared" si="8"/>
        <v/>
      </c>
      <c r="BN8" s="5">
        <v>0</v>
      </c>
      <c r="BO8" s="5">
        <v>0</v>
      </c>
      <c r="BP8" s="5" t="str">
        <f t="shared" si="9"/>
        <v>Zero</v>
      </c>
      <c r="BQ8" s="5" t="str">
        <f t="shared" si="10"/>
        <v>Zero</v>
      </c>
      <c r="BR8" s="5" t="str">
        <f t="shared" si="11"/>
        <v/>
      </c>
      <c r="CA8" t="str">
        <f>IF(OR(AV8="Diff",BA8="Diff",BM8="Diff",BR8="Diff"),"Diff","")</f>
        <v/>
      </c>
    </row>
    <row r="9" spans="1:79" hidden="1" x14ac:dyDescent="0.25">
      <c r="A9" t="s">
        <v>236</v>
      </c>
      <c r="B9" t="s">
        <v>167</v>
      </c>
      <c r="C9" t="s">
        <v>387</v>
      </c>
      <c r="D9" t="s">
        <v>388</v>
      </c>
      <c r="E9">
        <v>135</v>
      </c>
      <c r="F9">
        <v>135</v>
      </c>
      <c r="G9" t="s">
        <v>383</v>
      </c>
      <c r="H9" t="s">
        <v>384</v>
      </c>
      <c r="I9" t="s">
        <v>385</v>
      </c>
      <c r="J9" t="s">
        <v>399</v>
      </c>
      <c r="K9">
        <v>1200</v>
      </c>
      <c r="L9" s="2">
        <v>2000</v>
      </c>
      <c r="M9">
        <v>0</v>
      </c>
      <c r="N9">
        <v>0</v>
      </c>
      <c r="O9">
        <v>0</v>
      </c>
      <c r="P9">
        <v>0</v>
      </c>
      <c r="Q9">
        <v>1</v>
      </c>
      <c r="R9">
        <v>1</v>
      </c>
      <c r="S9">
        <v>0</v>
      </c>
      <c r="T9">
        <v>2.1</v>
      </c>
      <c r="U9">
        <v>0</v>
      </c>
      <c r="V9">
        <v>0</v>
      </c>
      <c r="W9">
        <v>0</v>
      </c>
      <c r="X9">
        <v>0</v>
      </c>
      <c r="Y9">
        <v>260</v>
      </c>
      <c r="Z9">
        <v>40</v>
      </c>
      <c r="AA9">
        <v>0.1</v>
      </c>
      <c r="AB9" s="2" t="s">
        <v>374</v>
      </c>
      <c r="AC9">
        <v>0</v>
      </c>
      <c r="AD9">
        <v>0</v>
      </c>
      <c r="AE9">
        <v>0</v>
      </c>
      <c r="AF9">
        <v>10</v>
      </c>
      <c r="AG9">
        <v>0</v>
      </c>
      <c r="AH9">
        <v>0</v>
      </c>
      <c r="AI9">
        <v>0</v>
      </c>
      <c r="AJ9">
        <v>0</v>
      </c>
      <c r="AO9">
        <v>5</v>
      </c>
      <c r="AP9"/>
      <c r="AQ9">
        <v>1</v>
      </c>
      <c r="AT9" s="5" t="str">
        <f t="shared" si="0"/>
        <v>Blank</v>
      </c>
      <c r="AU9" s="5" t="str">
        <f t="shared" si="1"/>
        <v>Blank</v>
      </c>
      <c r="AV9" s="5" t="str">
        <f t="shared" si="2"/>
        <v/>
      </c>
      <c r="AY9" s="5" t="str">
        <f t="shared" si="3"/>
        <v>Blank</v>
      </c>
      <c r="AZ9" s="5" t="str">
        <f t="shared" si="4"/>
        <v>Blank</v>
      </c>
      <c r="BA9" s="5" t="str">
        <f t="shared" si="5"/>
        <v/>
      </c>
      <c r="BC9" s="5">
        <v>1.08</v>
      </c>
      <c r="BD9" s="5">
        <v>0.45</v>
      </c>
      <c r="BE9" s="5">
        <v>0.2</v>
      </c>
      <c r="BF9" s="5">
        <v>2.5</v>
      </c>
      <c r="BH9" s="5">
        <v>1</v>
      </c>
      <c r="BI9" s="5">
        <v>0.06</v>
      </c>
      <c r="BJ9" s="5">
        <v>0.06</v>
      </c>
      <c r="BK9" s="5" t="str">
        <f t="shared" si="6"/>
        <v>Number</v>
      </c>
      <c r="BL9" s="5" t="str">
        <f t="shared" si="7"/>
        <v>Number</v>
      </c>
      <c r="BM9" s="5" t="str">
        <f t="shared" si="8"/>
        <v/>
      </c>
      <c r="BN9" s="5">
        <v>0.12</v>
      </c>
      <c r="BO9" s="5">
        <v>0.12</v>
      </c>
      <c r="BP9" s="5" t="str">
        <f t="shared" si="9"/>
        <v>Number</v>
      </c>
      <c r="BQ9" s="5" t="str">
        <f t="shared" si="10"/>
        <v>Number</v>
      </c>
      <c r="BR9" s="5" t="str">
        <f t="shared" si="11"/>
        <v/>
      </c>
      <c r="BS9" s="5">
        <v>0.88</v>
      </c>
      <c r="BT9" s="5">
        <v>1</v>
      </c>
      <c r="BU9" s="5">
        <v>1</v>
      </c>
      <c r="BX9" s="5">
        <v>0.9</v>
      </c>
      <c r="CA9" t="str">
        <f>IF(OR(AV9="Diff",BA9="Diff",BM9="Diff",BR9="Diff"),"Diff","")</f>
        <v/>
      </c>
    </row>
    <row r="10" spans="1:79" x14ac:dyDescent="0.25">
      <c r="A10" t="s">
        <v>237</v>
      </c>
      <c r="B10" t="s">
        <v>167</v>
      </c>
      <c r="C10" t="s">
        <v>387</v>
      </c>
      <c r="D10" t="s">
        <v>388</v>
      </c>
      <c r="E10">
        <v>100</v>
      </c>
      <c r="F10">
        <v>100</v>
      </c>
      <c r="G10" t="s">
        <v>396</v>
      </c>
      <c r="H10" t="s">
        <v>400</v>
      </c>
      <c r="I10" t="s">
        <v>401</v>
      </c>
      <c r="J10" t="s">
        <v>392</v>
      </c>
      <c r="K10">
        <v>0</v>
      </c>
      <c r="L10">
        <v>0</v>
      </c>
      <c r="M10">
        <v>60</v>
      </c>
      <c r="N10">
        <v>2</v>
      </c>
      <c r="O10">
        <v>0</v>
      </c>
      <c r="P10">
        <v>0</v>
      </c>
      <c r="Q10">
        <v>10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0.1</v>
      </c>
      <c r="AB10" s="2" t="s">
        <v>374</v>
      </c>
      <c r="AC10">
        <v>1</v>
      </c>
      <c r="AD10">
        <v>0</v>
      </c>
      <c r="AE10">
        <v>0</v>
      </c>
      <c r="AO10">
        <v>5</v>
      </c>
      <c r="AQ10">
        <v>1</v>
      </c>
      <c r="AS10" s="5">
        <v>0.6</v>
      </c>
      <c r="AT10" s="5" t="str">
        <f t="shared" si="0"/>
        <v>Blank</v>
      </c>
      <c r="AU10" s="5" t="str">
        <f t="shared" si="1"/>
        <v>Number</v>
      </c>
      <c r="AV10" s="5" t="str">
        <f t="shared" si="2"/>
        <v>Diff</v>
      </c>
      <c r="AY10" s="5" t="str">
        <f t="shared" si="3"/>
        <v>Blank</v>
      </c>
      <c r="AZ10" s="5" t="str">
        <f t="shared" si="4"/>
        <v>Blank</v>
      </c>
      <c r="BA10" s="5" t="str">
        <f t="shared" si="5"/>
        <v/>
      </c>
      <c r="BK10" s="5" t="str">
        <f t="shared" si="6"/>
        <v>Blank</v>
      </c>
      <c r="BL10" s="5" t="str">
        <f t="shared" si="7"/>
        <v>Blank</v>
      </c>
      <c r="BM10" s="5" t="str">
        <f t="shared" si="8"/>
        <v/>
      </c>
      <c r="BP10" s="5" t="str">
        <f t="shared" si="9"/>
        <v>Blank</v>
      </c>
      <c r="BQ10" s="5" t="str">
        <f t="shared" si="10"/>
        <v>Blank</v>
      </c>
      <c r="BR10" s="5" t="str">
        <f t="shared" si="11"/>
        <v/>
      </c>
      <c r="CA10" t="str">
        <f>IF(OR(AV10="Diff",BA10="Diff",BM10="Diff",BR10="Diff"),"Diff","")</f>
        <v>Diff</v>
      </c>
    </row>
    <row r="11" spans="1:79" hidden="1" x14ac:dyDescent="0.25">
      <c r="A11" t="s">
        <v>238</v>
      </c>
      <c r="B11" t="s">
        <v>167</v>
      </c>
      <c r="C11" t="s">
        <v>387</v>
      </c>
      <c r="D11" t="s">
        <v>388</v>
      </c>
      <c r="E11">
        <v>380</v>
      </c>
      <c r="F11">
        <v>380</v>
      </c>
      <c r="G11" t="s">
        <v>396</v>
      </c>
      <c r="H11" t="s">
        <v>397</v>
      </c>
      <c r="I11" t="s">
        <v>402</v>
      </c>
      <c r="J11" t="s">
        <v>386</v>
      </c>
      <c r="K11">
        <v>120</v>
      </c>
      <c r="L11">
        <v>4500</v>
      </c>
      <c r="M11">
        <v>0</v>
      </c>
      <c r="N11">
        <v>0</v>
      </c>
      <c r="O11">
        <v>0</v>
      </c>
      <c r="P11">
        <v>0</v>
      </c>
      <c r="Q11">
        <v>1</v>
      </c>
      <c r="R11">
        <v>0</v>
      </c>
      <c r="S11">
        <v>1</v>
      </c>
      <c r="T11">
        <v>15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0.1</v>
      </c>
      <c r="AB11" s="2" t="s">
        <v>374</v>
      </c>
      <c r="AC11">
        <v>0</v>
      </c>
      <c r="AD11">
        <v>0</v>
      </c>
      <c r="AE11">
        <v>0</v>
      </c>
      <c r="AF11">
        <v>179</v>
      </c>
      <c r="AG11">
        <v>0</v>
      </c>
      <c r="AH11">
        <v>0</v>
      </c>
      <c r="AI11">
        <v>0</v>
      </c>
      <c r="AJ11">
        <v>0</v>
      </c>
      <c r="AO11">
        <v>5</v>
      </c>
      <c r="AP11"/>
      <c r="AQ11">
        <v>0.5</v>
      </c>
      <c r="AT11" s="5" t="str">
        <f t="shared" si="0"/>
        <v>Blank</v>
      </c>
      <c r="AU11" s="5" t="str">
        <f t="shared" si="1"/>
        <v>Blank</v>
      </c>
      <c r="AV11" s="5" t="str">
        <f t="shared" si="2"/>
        <v/>
      </c>
      <c r="AW11" s="5">
        <v>0.8</v>
      </c>
      <c r="AX11" s="5">
        <v>0.8</v>
      </c>
      <c r="AY11" s="5" t="str">
        <f t="shared" si="3"/>
        <v>Number</v>
      </c>
      <c r="AZ11" s="5" t="str">
        <f t="shared" si="4"/>
        <v>Number</v>
      </c>
      <c r="BA11" s="5" t="str">
        <f t="shared" si="5"/>
        <v/>
      </c>
      <c r="BE11" s="5">
        <v>0.6</v>
      </c>
      <c r="BH11" s="5">
        <v>0</v>
      </c>
      <c r="BI11" s="5">
        <v>1</v>
      </c>
      <c r="BJ11" s="5">
        <v>1</v>
      </c>
      <c r="BK11" s="5" t="str">
        <f t="shared" si="6"/>
        <v>Number</v>
      </c>
      <c r="BL11" s="5" t="str">
        <f t="shared" si="7"/>
        <v>Number</v>
      </c>
      <c r="BM11" s="5" t="str">
        <f t="shared" si="8"/>
        <v/>
      </c>
      <c r="BN11" s="5">
        <v>1</v>
      </c>
      <c r="BO11" s="5">
        <v>1</v>
      </c>
      <c r="BP11" s="5" t="str">
        <f t="shared" si="9"/>
        <v>Number</v>
      </c>
      <c r="BQ11" s="5" t="str">
        <f t="shared" si="10"/>
        <v>Number</v>
      </c>
      <c r="BR11" s="5" t="str">
        <f t="shared" si="11"/>
        <v/>
      </c>
      <c r="CA11" t="str">
        <f>IF(OR(AV11="Diff",BA11="Diff",BM11="Diff",BR11="Diff"),"Diff","")</f>
        <v/>
      </c>
    </row>
    <row r="12" spans="1:79" x14ac:dyDescent="0.25">
      <c r="A12" t="s">
        <v>239</v>
      </c>
      <c r="B12" t="s">
        <v>167</v>
      </c>
      <c r="C12" t="s">
        <v>387</v>
      </c>
      <c r="D12" t="s">
        <v>388</v>
      </c>
      <c r="E12">
        <v>100000000</v>
      </c>
      <c r="F12">
        <v>100000000</v>
      </c>
      <c r="G12" t="s">
        <v>383</v>
      </c>
      <c r="H12" t="s">
        <v>393</v>
      </c>
      <c r="I12" t="s">
        <v>403</v>
      </c>
      <c r="J12" t="s">
        <v>386</v>
      </c>
      <c r="K12">
        <v>0</v>
      </c>
      <c r="L12">
        <v>1000</v>
      </c>
      <c r="M12">
        <v>0</v>
      </c>
      <c r="N12">
        <v>20</v>
      </c>
      <c r="O12">
        <v>0</v>
      </c>
      <c r="P12">
        <v>0</v>
      </c>
      <c r="Q12">
        <v>50</v>
      </c>
      <c r="R12">
        <v>0</v>
      </c>
      <c r="S12">
        <v>0</v>
      </c>
      <c r="T12">
        <v>50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0.1</v>
      </c>
      <c r="AB12" s="2" t="s">
        <v>375</v>
      </c>
      <c r="AC12">
        <v>0</v>
      </c>
      <c r="AD12">
        <v>0</v>
      </c>
      <c r="AE12">
        <v>1000</v>
      </c>
      <c r="AF12">
        <v>15</v>
      </c>
      <c r="AG12">
        <v>0</v>
      </c>
      <c r="AH12">
        <v>0</v>
      </c>
      <c r="AI12">
        <v>0</v>
      </c>
      <c r="AJ12">
        <v>0</v>
      </c>
      <c r="AO12">
        <v>5</v>
      </c>
      <c r="AQ12">
        <v>1</v>
      </c>
      <c r="AT12" s="5" t="str">
        <f t="shared" si="0"/>
        <v>Blank</v>
      </c>
      <c r="AU12" s="5" t="str">
        <f t="shared" si="1"/>
        <v>Blank</v>
      </c>
      <c r="AV12" s="5" t="str">
        <f t="shared" si="2"/>
        <v/>
      </c>
      <c r="AY12" s="5" t="str">
        <f t="shared" si="3"/>
        <v>Blank</v>
      </c>
      <c r="AZ12" s="5" t="str">
        <f t="shared" si="4"/>
        <v>Blank</v>
      </c>
      <c r="BA12" s="5" t="str">
        <f t="shared" si="5"/>
        <v/>
      </c>
      <c r="BH12" s="5">
        <v>1</v>
      </c>
      <c r="BI12" s="5">
        <v>1E-3</v>
      </c>
      <c r="BK12" s="5" t="str">
        <f t="shared" si="6"/>
        <v>Number</v>
      </c>
      <c r="BL12" s="5" t="str">
        <f t="shared" si="7"/>
        <v>Blank</v>
      </c>
      <c r="BM12" s="5" t="str">
        <f t="shared" si="8"/>
        <v>Diff</v>
      </c>
      <c r="BN12" s="5">
        <v>5.0000000000000001E-4</v>
      </c>
      <c r="BP12" s="5" t="str">
        <f t="shared" si="9"/>
        <v>Number</v>
      </c>
      <c r="BQ12" s="5" t="str">
        <f t="shared" si="10"/>
        <v>Blank</v>
      </c>
      <c r="BR12" s="5" t="str">
        <f t="shared" si="11"/>
        <v>Diff</v>
      </c>
      <c r="CA12" t="str">
        <f>IF(OR(AV12="Diff",BA12="Diff",BM12="Diff",BR12="Diff"),"Diff","")</f>
        <v>Diff</v>
      </c>
    </row>
    <row r="13" spans="1:79" hidden="1" x14ac:dyDescent="0.25">
      <c r="A13" t="s">
        <v>240</v>
      </c>
      <c r="B13" t="s">
        <v>167</v>
      </c>
      <c r="C13" t="s">
        <v>387</v>
      </c>
      <c r="D13" t="s">
        <v>388</v>
      </c>
      <c r="E13">
        <v>3000</v>
      </c>
      <c r="F13">
        <v>3000</v>
      </c>
      <c r="G13" t="s">
        <v>396</v>
      </c>
      <c r="H13" t="s">
        <v>397</v>
      </c>
      <c r="I13" t="s">
        <v>398</v>
      </c>
      <c r="J13" t="s">
        <v>399</v>
      </c>
      <c r="K13">
        <v>120</v>
      </c>
      <c r="L13">
        <v>4500</v>
      </c>
      <c r="M13">
        <v>0</v>
      </c>
      <c r="N13">
        <v>0</v>
      </c>
      <c r="O13">
        <v>0</v>
      </c>
      <c r="P13">
        <v>0</v>
      </c>
      <c r="Q13">
        <v>1</v>
      </c>
      <c r="R13">
        <v>0</v>
      </c>
      <c r="S13">
        <v>1</v>
      </c>
      <c r="T13">
        <v>16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0.1</v>
      </c>
      <c r="AB13" s="2" t="s">
        <v>374</v>
      </c>
      <c r="AC13">
        <v>0</v>
      </c>
      <c r="AD13">
        <v>0</v>
      </c>
      <c r="AE13">
        <v>0</v>
      </c>
      <c r="AF13">
        <v>179</v>
      </c>
      <c r="AG13">
        <v>0</v>
      </c>
      <c r="AH13">
        <v>0</v>
      </c>
      <c r="AI13">
        <v>0</v>
      </c>
      <c r="AJ13">
        <v>0</v>
      </c>
      <c r="AO13" s="2">
        <v>20</v>
      </c>
      <c r="AP13" s="2"/>
      <c r="AQ13">
        <v>0.5</v>
      </c>
      <c r="AT13" s="5" t="str">
        <f t="shared" si="0"/>
        <v>Blank</v>
      </c>
      <c r="AU13" s="5" t="str">
        <f t="shared" si="1"/>
        <v>Blank</v>
      </c>
      <c r="AV13" s="5" t="str">
        <f t="shared" si="2"/>
        <v/>
      </c>
      <c r="AY13" s="5" t="str">
        <f t="shared" si="3"/>
        <v>Blank</v>
      </c>
      <c r="AZ13" s="5" t="str">
        <f t="shared" si="4"/>
        <v>Blank</v>
      </c>
      <c r="BA13" s="5" t="str">
        <f t="shared" si="5"/>
        <v/>
      </c>
      <c r="BE13" s="5">
        <v>0.6</v>
      </c>
      <c r="BH13" s="5">
        <v>1</v>
      </c>
      <c r="BI13" s="5">
        <v>0</v>
      </c>
      <c r="BJ13" s="5">
        <v>0</v>
      </c>
      <c r="BK13" s="5" t="str">
        <f t="shared" si="6"/>
        <v>Zero</v>
      </c>
      <c r="BL13" s="5" t="str">
        <f t="shared" si="7"/>
        <v>Zero</v>
      </c>
      <c r="BM13" s="5" t="str">
        <f t="shared" si="8"/>
        <v/>
      </c>
      <c r="BN13" s="5">
        <v>0</v>
      </c>
      <c r="BO13" s="5">
        <v>0</v>
      </c>
      <c r="BP13" s="5" t="str">
        <f t="shared" si="9"/>
        <v>Zero</v>
      </c>
      <c r="BQ13" s="5" t="str">
        <f t="shared" si="10"/>
        <v>Zero</v>
      </c>
      <c r="BR13" s="5" t="str">
        <f t="shared" si="11"/>
        <v/>
      </c>
      <c r="CA13" t="str">
        <f>IF(OR(AV13="Diff",BA13="Diff",BM13="Diff",BR13="Diff"),"Diff","")</f>
        <v/>
      </c>
    </row>
    <row r="14" spans="1:79" x14ac:dyDescent="0.25">
      <c r="A14" t="s">
        <v>241</v>
      </c>
      <c r="B14" t="s">
        <v>167</v>
      </c>
      <c r="C14" t="s">
        <v>387</v>
      </c>
      <c r="D14" t="s">
        <v>388</v>
      </c>
      <c r="E14">
        <v>150</v>
      </c>
      <c r="F14">
        <v>150</v>
      </c>
      <c r="G14" t="s">
        <v>383</v>
      </c>
      <c r="H14" t="s">
        <v>384</v>
      </c>
      <c r="I14" t="s">
        <v>404</v>
      </c>
      <c r="J14" t="s">
        <v>392</v>
      </c>
      <c r="K14">
        <v>4500</v>
      </c>
      <c r="L14">
        <v>3000</v>
      </c>
      <c r="M14">
        <v>0</v>
      </c>
      <c r="N14">
        <v>0</v>
      </c>
      <c r="O14">
        <v>0</v>
      </c>
      <c r="P14">
        <v>0</v>
      </c>
      <c r="Q14">
        <v>1</v>
      </c>
      <c r="R14">
        <v>1</v>
      </c>
      <c r="S14">
        <v>1</v>
      </c>
      <c r="T14">
        <v>0.6</v>
      </c>
      <c r="U14">
        <v>1.3</v>
      </c>
      <c r="V14">
        <v>1.8</v>
      </c>
      <c r="W14">
        <v>1</v>
      </c>
      <c r="X14">
        <v>1</v>
      </c>
      <c r="Y14">
        <v>0</v>
      </c>
      <c r="Z14">
        <v>0</v>
      </c>
      <c r="AA14">
        <v>0.1</v>
      </c>
      <c r="AB14" s="2" t="s">
        <v>374</v>
      </c>
      <c r="AC14">
        <v>0</v>
      </c>
      <c r="AD14">
        <v>0</v>
      </c>
      <c r="AE14">
        <v>0</v>
      </c>
      <c r="AF14">
        <v>70</v>
      </c>
      <c r="AG14">
        <v>0</v>
      </c>
      <c r="AH14">
        <v>0</v>
      </c>
      <c r="AI14">
        <v>0</v>
      </c>
      <c r="AJ14">
        <v>0</v>
      </c>
      <c r="AO14">
        <v>0</v>
      </c>
      <c r="AQ14">
        <v>0</v>
      </c>
      <c r="AR14" s="5">
        <v>1</v>
      </c>
      <c r="AT14" s="5" t="str">
        <f t="shared" si="0"/>
        <v>Number</v>
      </c>
      <c r="AU14" s="5" t="str">
        <f t="shared" si="1"/>
        <v>Blank</v>
      </c>
      <c r="AV14" s="5" t="str">
        <f t="shared" si="2"/>
        <v>Diff</v>
      </c>
      <c r="AW14" s="5">
        <v>0.5</v>
      </c>
      <c r="AY14" s="5" t="str">
        <f t="shared" si="3"/>
        <v>Number</v>
      </c>
      <c r="AZ14" s="5" t="str">
        <f t="shared" si="4"/>
        <v>Blank</v>
      </c>
      <c r="BA14" s="5" t="str">
        <f t="shared" si="5"/>
        <v>Diff</v>
      </c>
      <c r="BB14" s="5">
        <v>0.1</v>
      </c>
      <c r="BD14" s="5">
        <v>0.5</v>
      </c>
      <c r="BE14" s="5">
        <v>0.5</v>
      </c>
      <c r="BH14" s="5">
        <v>0</v>
      </c>
      <c r="BI14" s="5">
        <v>1</v>
      </c>
      <c r="BK14" s="5" t="str">
        <f t="shared" si="6"/>
        <v>Number</v>
      </c>
      <c r="BL14" s="5" t="str">
        <f t="shared" si="7"/>
        <v>Blank</v>
      </c>
      <c r="BM14" s="5" t="str">
        <f t="shared" si="8"/>
        <v>Diff</v>
      </c>
      <c r="BN14" s="5">
        <v>1</v>
      </c>
      <c r="BP14" s="5" t="str">
        <f t="shared" si="9"/>
        <v>Number</v>
      </c>
      <c r="BQ14" s="5" t="str">
        <f t="shared" si="10"/>
        <v>Blank</v>
      </c>
      <c r="BR14" s="5" t="str">
        <f t="shared" si="11"/>
        <v>Diff</v>
      </c>
      <c r="BS14" s="5">
        <v>1</v>
      </c>
      <c r="CA14" t="str">
        <f>IF(OR(AV14="Diff",BA14="Diff",BM14="Diff",BR14="Diff"),"Diff","")</f>
        <v>Diff</v>
      </c>
    </row>
    <row r="15" spans="1:79" x14ac:dyDescent="0.25">
      <c r="A15" t="s">
        <v>242</v>
      </c>
      <c r="B15" t="s">
        <v>167</v>
      </c>
      <c r="C15" t="s">
        <v>387</v>
      </c>
      <c r="D15" t="s">
        <v>388</v>
      </c>
      <c r="E15">
        <v>3000</v>
      </c>
      <c r="F15">
        <v>3000</v>
      </c>
      <c r="G15" t="s">
        <v>390</v>
      </c>
      <c r="H15" t="s">
        <v>384</v>
      </c>
      <c r="I15" t="s">
        <v>405</v>
      </c>
      <c r="J15" t="s">
        <v>392</v>
      </c>
      <c r="K15">
        <v>1500</v>
      </c>
      <c r="L15">
        <v>6000</v>
      </c>
      <c r="M15">
        <v>0</v>
      </c>
      <c r="N15">
        <v>0</v>
      </c>
      <c r="O15">
        <v>0</v>
      </c>
      <c r="P15">
        <v>0</v>
      </c>
      <c r="Q15">
        <v>1</v>
      </c>
      <c r="R15">
        <v>1</v>
      </c>
      <c r="S15">
        <v>1</v>
      </c>
      <c r="T15">
        <v>0.5</v>
      </c>
      <c r="U15">
        <v>2</v>
      </c>
      <c r="V15">
        <v>3</v>
      </c>
      <c r="W15">
        <v>1</v>
      </c>
      <c r="X15">
        <v>1</v>
      </c>
      <c r="Y15">
        <v>120</v>
      </c>
      <c r="Z15">
        <v>120</v>
      </c>
      <c r="AA15">
        <v>0.1</v>
      </c>
      <c r="AB15" s="2" t="s">
        <v>374</v>
      </c>
      <c r="AC15">
        <v>1</v>
      </c>
      <c r="AD15">
        <v>0</v>
      </c>
      <c r="AE15">
        <v>0</v>
      </c>
      <c r="AF15">
        <v>30</v>
      </c>
      <c r="AG15">
        <v>-170</v>
      </c>
      <c r="AH15">
        <v>170</v>
      </c>
      <c r="AI15">
        <v>-1</v>
      </c>
      <c r="AJ15">
        <v>30</v>
      </c>
      <c r="AO15">
        <v>30</v>
      </c>
      <c r="AQ15">
        <v>1</v>
      </c>
      <c r="AT15" s="5" t="str">
        <f t="shared" si="0"/>
        <v>Blank</v>
      </c>
      <c r="AU15" s="5" t="str">
        <f t="shared" si="1"/>
        <v>Blank</v>
      </c>
      <c r="AV15" s="5" t="str">
        <f t="shared" si="2"/>
        <v/>
      </c>
      <c r="AY15" s="5" t="str">
        <f t="shared" si="3"/>
        <v>Blank</v>
      </c>
      <c r="AZ15" s="5" t="str">
        <f t="shared" si="4"/>
        <v>Blank</v>
      </c>
      <c r="BA15" s="5" t="str">
        <f t="shared" si="5"/>
        <v/>
      </c>
      <c r="BB15" s="5">
        <v>0.7</v>
      </c>
      <c r="BC15" s="5">
        <v>0.5</v>
      </c>
      <c r="BH15" s="5">
        <v>1</v>
      </c>
      <c r="BI15" s="5">
        <v>0</v>
      </c>
      <c r="BK15" s="5" t="str">
        <f t="shared" si="6"/>
        <v>Zero</v>
      </c>
      <c r="BL15" s="5" t="str">
        <f t="shared" si="7"/>
        <v>Blank</v>
      </c>
      <c r="BM15" s="5" t="str">
        <f t="shared" si="8"/>
        <v>Diff</v>
      </c>
      <c r="BN15" s="5">
        <v>0</v>
      </c>
      <c r="BP15" s="5" t="str">
        <f t="shared" si="9"/>
        <v>Zero</v>
      </c>
      <c r="BQ15" s="5" t="str">
        <f t="shared" si="10"/>
        <v>Blank</v>
      </c>
      <c r="BR15" s="5" t="str">
        <f t="shared" si="11"/>
        <v>Diff</v>
      </c>
      <c r="BV15" s="5">
        <v>0</v>
      </c>
      <c r="BW15" s="5">
        <v>0</v>
      </c>
      <c r="BY15" s="5">
        <v>0</v>
      </c>
      <c r="CA15" t="str">
        <f>IF(OR(AV15="Diff",BA15="Diff",BM15="Diff",BR15="Diff"),"Diff","")</f>
        <v>Diff</v>
      </c>
    </row>
    <row r="16" spans="1:79" x14ac:dyDescent="0.25">
      <c r="A16" t="s">
        <v>243</v>
      </c>
      <c r="B16" t="s">
        <v>167</v>
      </c>
      <c r="C16" t="s">
        <v>387</v>
      </c>
      <c r="D16" t="s">
        <v>388</v>
      </c>
      <c r="E16">
        <v>25000</v>
      </c>
      <c r="F16">
        <v>25000</v>
      </c>
      <c r="G16" t="s">
        <v>383</v>
      </c>
      <c r="H16" t="s">
        <v>393</v>
      </c>
      <c r="I16" t="s">
        <v>406</v>
      </c>
      <c r="J16" t="s">
        <v>392</v>
      </c>
      <c r="K16">
        <v>0</v>
      </c>
      <c r="L16">
        <v>6000</v>
      </c>
      <c r="M16">
        <v>0</v>
      </c>
      <c r="N16">
        <v>8</v>
      </c>
      <c r="O16">
        <v>4</v>
      </c>
      <c r="P16">
        <v>0</v>
      </c>
      <c r="Q16">
        <v>20</v>
      </c>
      <c r="R16">
        <v>0</v>
      </c>
      <c r="S16">
        <v>1</v>
      </c>
      <c r="T16">
        <v>10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0.1</v>
      </c>
      <c r="AB16" s="2" t="s">
        <v>375</v>
      </c>
      <c r="AC16">
        <v>1</v>
      </c>
      <c r="AD16">
        <v>0</v>
      </c>
      <c r="AE16">
        <v>1000000</v>
      </c>
      <c r="AF16">
        <v>5</v>
      </c>
      <c r="AG16">
        <v>0</v>
      </c>
      <c r="AH16">
        <v>0</v>
      </c>
      <c r="AI16">
        <v>0</v>
      </c>
      <c r="AJ16">
        <v>0</v>
      </c>
      <c r="AK16" t="s">
        <v>387</v>
      </c>
      <c r="AL16" t="s">
        <v>395</v>
      </c>
      <c r="AM16">
        <v>-100</v>
      </c>
      <c r="AN16">
        <v>-100</v>
      </c>
      <c r="AO16">
        <v>100</v>
      </c>
      <c r="AQ16">
        <v>1</v>
      </c>
      <c r="AT16" s="5" t="str">
        <f t="shared" si="0"/>
        <v>Blank</v>
      </c>
      <c r="AU16" s="5" t="str">
        <f t="shared" si="1"/>
        <v>Blank</v>
      </c>
      <c r="AV16" s="5" t="str">
        <f t="shared" si="2"/>
        <v/>
      </c>
      <c r="AY16" s="5" t="str">
        <f t="shared" si="3"/>
        <v>Blank</v>
      </c>
      <c r="AZ16" s="5" t="str">
        <f t="shared" si="4"/>
        <v>Blank</v>
      </c>
      <c r="BA16" s="5" t="str">
        <f t="shared" si="5"/>
        <v/>
      </c>
      <c r="BF16" s="5">
        <v>0.3</v>
      </c>
      <c r="BH16" s="5">
        <v>1</v>
      </c>
      <c r="BI16" s="5">
        <v>0</v>
      </c>
      <c r="BK16" s="5" t="str">
        <f t="shared" si="6"/>
        <v>Zero</v>
      </c>
      <c r="BL16" s="5" t="str">
        <f t="shared" si="7"/>
        <v>Blank</v>
      </c>
      <c r="BM16" s="5" t="str">
        <f t="shared" si="8"/>
        <v>Diff</v>
      </c>
      <c r="BN16" s="5">
        <v>0</v>
      </c>
      <c r="BP16" s="5" t="str">
        <f t="shared" si="9"/>
        <v>Zero</v>
      </c>
      <c r="BQ16" s="5" t="str">
        <f t="shared" si="10"/>
        <v>Blank</v>
      </c>
      <c r="BR16" s="5" t="str">
        <f t="shared" si="11"/>
        <v>Diff</v>
      </c>
      <c r="CA16" t="str">
        <f>IF(OR(AV16="Diff",BA16="Diff",BM16="Diff",BR16="Diff"),"Diff","")</f>
        <v>Diff</v>
      </c>
    </row>
    <row r="17" spans="1:79" hidden="1" x14ac:dyDescent="0.25">
      <c r="A17" t="s">
        <v>244</v>
      </c>
      <c r="B17" t="s">
        <v>167</v>
      </c>
      <c r="C17" t="s">
        <v>387</v>
      </c>
      <c r="D17" t="s">
        <v>388</v>
      </c>
      <c r="E17">
        <v>20</v>
      </c>
      <c r="F17">
        <v>20</v>
      </c>
      <c r="G17" t="s">
        <v>390</v>
      </c>
      <c r="H17" t="s">
        <v>384</v>
      </c>
      <c r="I17" t="s">
        <v>391</v>
      </c>
      <c r="J17" t="s">
        <v>392</v>
      </c>
      <c r="K17">
        <v>400</v>
      </c>
      <c r="L17">
        <v>800</v>
      </c>
      <c r="M17">
        <v>0</v>
      </c>
      <c r="N17">
        <v>0</v>
      </c>
      <c r="O17">
        <v>0</v>
      </c>
      <c r="P17">
        <v>1</v>
      </c>
      <c r="Q17">
        <v>0.2</v>
      </c>
      <c r="R17">
        <v>0.7</v>
      </c>
      <c r="S17">
        <v>0.5</v>
      </c>
      <c r="T17">
        <v>80</v>
      </c>
      <c r="U17">
        <v>40</v>
      </c>
      <c r="V17" s="2" t="s">
        <v>374</v>
      </c>
      <c r="AO17">
        <v>1</v>
      </c>
      <c r="AP17"/>
      <c r="AT17" s="5" t="str">
        <f t="shared" si="0"/>
        <v>Blank</v>
      </c>
      <c r="AU17" s="5" t="str">
        <f t="shared" si="1"/>
        <v>Blank</v>
      </c>
      <c r="AV17" s="5" t="str">
        <f t="shared" si="2"/>
        <v/>
      </c>
      <c r="AY17" s="5" t="str">
        <f t="shared" si="3"/>
        <v>Blank</v>
      </c>
      <c r="AZ17" s="5" t="str">
        <f t="shared" si="4"/>
        <v>Blank</v>
      </c>
      <c r="BA17" s="5" t="str">
        <f t="shared" si="5"/>
        <v/>
      </c>
      <c r="BH17" s="5">
        <v>1</v>
      </c>
      <c r="BK17" s="5" t="str">
        <f t="shared" si="6"/>
        <v>Blank</v>
      </c>
      <c r="BL17" s="5" t="str">
        <f t="shared" si="7"/>
        <v>Blank</v>
      </c>
      <c r="BM17" s="5" t="str">
        <f t="shared" si="8"/>
        <v/>
      </c>
      <c r="BP17" s="5" t="str">
        <f t="shared" si="9"/>
        <v>Blank</v>
      </c>
      <c r="BQ17" s="5" t="str">
        <f t="shared" si="10"/>
        <v>Blank</v>
      </c>
      <c r="BR17" s="5" t="str">
        <f t="shared" si="11"/>
        <v/>
      </c>
      <c r="CA17" t="str">
        <f>IF(OR(AV17="Diff",BA17="Diff",BM17="Diff",BR17="Diff"),"Diff","")</f>
        <v/>
      </c>
    </row>
    <row r="18" spans="1:79" hidden="1" x14ac:dyDescent="0.25">
      <c r="A18" t="s">
        <v>245</v>
      </c>
      <c r="B18" t="s">
        <v>167</v>
      </c>
      <c r="C18" t="s">
        <v>387</v>
      </c>
      <c r="D18" t="s">
        <v>388</v>
      </c>
      <c r="E18">
        <v>2200</v>
      </c>
      <c r="F18">
        <v>2200</v>
      </c>
      <c r="G18" t="s">
        <v>383</v>
      </c>
      <c r="H18" t="s">
        <v>393</v>
      </c>
      <c r="I18" t="s">
        <v>403</v>
      </c>
      <c r="J18" t="s">
        <v>392</v>
      </c>
      <c r="K18">
        <v>0</v>
      </c>
      <c r="L18">
        <v>4000</v>
      </c>
      <c r="M18">
        <v>0</v>
      </c>
      <c r="N18">
        <v>4</v>
      </c>
      <c r="O18">
        <v>2</v>
      </c>
      <c r="P18">
        <v>0</v>
      </c>
      <c r="Q18">
        <v>20</v>
      </c>
      <c r="R18">
        <v>0</v>
      </c>
      <c r="S18">
        <v>1</v>
      </c>
      <c r="T18">
        <v>7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0.1</v>
      </c>
      <c r="AB18" s="2" t="s">
        <v>374</v>
      </c>
      <c r="AC18">
        <v>0</v>
      </c>
      <c r="AD18">
        <v>0</v>
      </c>
      <c r="AE18">
        <v>1000</v>
      </c>
      <c r="AF18">
        <v>6</v>
      </c>
      <c r="AG18">
        <v>0</v>
      </c>
      <c r="AH18">
        <v>0</v>
      </c>
      <c r="AI18">
        <v>0</v>
      </c>
      <c r="AJ18">
        <v>0</v>
      </c>
      <c r="AK18" t="s">
        <v>387</v>
      </c>
      <c r="AL18" t="s">
        <v>395</v>
      </c>
      <c r="AM18">
        <v>-100</v>
      </c>
      <c r="AN18">
        <v>-100</v>
      </c>
      <c r="AO18">
        <v>30</v>
      </c>
      <c r="AP18"/>
      <c r="AQ18">
        <v>1</v>
      </c>
      <c r="AT18" s="5" t="str">
        <f t="shared" si="0"/>
        <v>Blank</v>
      </c>
      <c r="AU18" s="5" t="str">
        <f t="shared" si="1"/>
        <v>Blank</v>
      </c>
      <c r="AV18" s="5" t="str">
        <f t="shared" si="2"/>
        <v/>
      </c>
      <c r="AY18" s="5" t="str">
        <f t="shared" si="3"/>
        <v>Blank</v>
      </c>
      <c r="AZ18" s="5" t="str">
        <f t="shared" si="4"/>
        <v>Blank</v>
      </c>
      <c r="BA18" s="5" t="str">
        <f t="shared" si="5"/>
        <v/>
      </c>
      <c r="BB18" s="5">
        <v>1</v>
      </c>
      <c r="BE18" s="5">
        <v>0.2</v>
      </c>
      <c r="BF18" s="5">
        <v>0.37</v>
      </c>
      <c r="BH18" s="5">
        <v>1</v>
      </c>
      <c r="BI18" s="5">
        <v>0.1</v>
      </c>
      <c r="BJ18" s="5">
        <v>0.1</v>
      </c>
      <c r="BK18" s="5" t="str">
        <f t="shared" si="6"/>
        <v>Number</v>
      </c>
      <c r="BL18" s="5" t="str">
        <f t="shared" si="7"/>
        <v>Number</v>
      </c>
      <c r="BM18" s="5" t="str">
        <f t="shared" si="8"/>
        <v/>
      </c>
      <c r="BN18" s="5" t="s">
        <v>521</v>
      </c>
      <c r="BO18" s="5" t="s">
        <v>521</v>
      </c>
      <c r="BP18" s="5" t="str">
        <f t="shared" si="9"/>
        <v>Number</v>
      </c>
      <c r="BQ18" s="5" t="str">
        <f t="shared" si="10"/>
        <v>Number</v>
      </c>
      <c r="BR18" s="5" t="str">
        <f t="shared" si="11"/>
        <v/>
      </c>
      <c r="BY18" s="5">
        <v>1</v>
      </c>
      <c r="CA18" t="str">
        <f>IF(OR(AV18="Diff",BA18="Diff",BM18="Diff",BR18="Diff"),"Diff","")</f>
        <v/>
      </c>
    </row>
    <row r="19" spans="1:79" hidden="1" x14ac:dyDescent="0.25">
      <c r="A19" t="s">
        <v>246</v>
      </c>
      <c r="B19" t="s">
        <v>167</v>
      </c>
      <c r="C19" t="s">
        <v>387</v>
      </c>
      <c r="D19" t="s">
        <v>388</v>
      </c>
      <c r="E19" s="2">
        <v>600</v>
      </c>
      <c r="F19" s="2">
        <v>600</v>
      </c>
      <c r="G19" t="s">
        <v>390</v>
      </c>
      <c r="H19" t="s">
        <v>393</v>
      </c>
      <c r="I19" t="s">
        <v>403</v>
      </c>
      <c r="J19" t="s">
        <v>392</v>
      </c>
      <c r="K19">
        <v>0</v>
      </c>
      <c r="L19">
        <v>6000</v>
      </c>
      <c r="M19">
        <v>0</v>
      </c>
      <c r="N19">
        <v>4</v>
      </c>
      <c r="O19">
        <v>2</v>
      </c>
      <c r="P19">
        <v>0</v>
      </c>
      <c r="Q19">
        <v>20</v>
      </c>
      <c r="R19">
        <v>0</v>
      </c>
      <c r="S19">
        <v>1</v>
      </c>
      <c r="T19">
        <v>12</v>
      </c>
      <c r="U19">
        <v>0</v>
      </c>
      <c r="V19">
        <v>0</v>
      </c>
      <c r="W19">
        <v>1</v>
      </c>
      <c r="X19">
        <v>0</v>
      </c>
      <c r="Y19" s="2">
        <v>40</v>
      </c>
      <c r="Z19" s="2">
        <v>40</v>
      </c>
      <c r="AA19">
        <v>0.1</v>
      </c>
      <c r="AB19" s="2" t="s">
        <v>374</v>
      </c>
      <c r="AC19">
        <v>1</v>
      </c>
      <c r="AD19">
        <v>0</v>
      </c>
      <c r="AE19">
        <v>1000</v>
      </c>
      <c r="AF19" s="2">
        <v>60</v>
      </c>
      <c r="AG19">
        <v>-180</v>
      </c>
      <c r="AH19">
        <v>180</v>
      </c>
      <c r="AI19" s="2">
        <v>-12</v>
      </c>
      <c r="AJ19" s="2">
        <v>90</v>
      </c>
      <c r="AO19">
        <v>30</v>
      </c>
      <c r="AP19"/>
      <c r="AQ19">
        <v>1</v>
      </c>
      <c r="AR19" s="5">
        <v>0.02</v>
      </c>
      <c r="AS19" s="5">
        <v>0.02</v>
      </c>
      <c r="AT19" s="5" t="str">
        <f t="shared" si="0"/>
        <v>Number</v>
      </c>
      <c r="AU19" s="5" t="str">
        <f t="shared" si="1"/>
        <v>Number</v>
      </c>
      <c r="AV19" s="5" t="str">
        <f t="shared" si="2"/>
        <v/>
      </c>
      <c r="AW19" s="5">
        <v>0.1</v>
      </c>
      <c r="AX19" s="5">
        <v>0.1</v>
      </c>
      <c r="AY19" s="5" t="str">
        <f t="shared" si="3"/>
        <v>Number</v>
      </c>
      <c r="AZ19" s="5" t="str">
        <f t="shared" si="4"/>
        <v>Number</v>
      </c>
      <c r="BA19" s="5" t="str">
        <f t="shared" si="5"/>
        <v/>
      </c>
      <c r="BE19" s="5">
        <v>0.4</v>
      </c>
      <c r="BH19" s="5">
        <v>1</v>
      </c>
      <c r="BI19" s="5">
        <v>0.04</v>
      </c>
      <c r="BJ19" s="5">
        <v>0.04</v>
      </c>
      <c r="BK19" s="5" t="str">
        <f t="shared" si="6"/>
        <v>Number</v>
      </c>
      <c r="BL19" s="5" t="str">
        <f t="shared" si="7"/>
        <v>Number</v>
      </c>
      <c r="BM19" s="5" t="str">
        <f t="shared" si="8"/>
        <v/>
      </c>
      <c r="BN19" s="5">
        <v>0.04</v>
      </c>
      <c r="BO19" s="5">
        <v>0.04</v>
      </c>
      <c r="BP19" s="5" t="str">
        <f t="shared" si="9"/>
        <v>Number</v>
      </c>
      <c r="BQ19" s="5" t="str">
        <f t="shared" si="10"/>
        <v>Number</v>
      </c>
      <c r="BR19" s="5" t="str">
        <f t="shared" si="11"/>
        <v/>
      </c>
      <c r="CA19" t="str">
        <f>IF(OR(AV19="Diff",BA19="Diff",BM19="Diff",BR19="Diff"),"Diff","")</f>
        <v/>
      </c>
    </row>
    <row r="20" spans="1:79" x14ac:dyDescent="0.25">
      <c r="A20" t="s">
        <v>247</v>
      </c>
      <c r="B20" t="s">
        <v>167</v>
      </c>
      <c r="C20" t="s">
        <v>387</v>
      </c>
      <c r="D20" t="s">
        <v>388</v>
      </c>
      <c r="E20">
        <v>37</v>
      </c>
      <c r="F20">
        <v>37</v>
      </c>
      <c r="G20" t="s">
        <v>383</v>
      </c>
      <c r="H20" t="s">
        <v>384</v>
      </c>
      <c r="I20" t="s">
        <v>407</v>
      </c>
      <c r="J20" t="s">
        <v>392</v>
      </c>
      <c r="K20">
        <v>2200</v>
      </c>
      <c r="L20" s="2">
        <v>1750</v>
      </c>
      <c r="M20">
        <v>0</v>
      </c>
      <c r="N20">
        <v>0</v>
      </c>
      <c r="O20">
        <v>0</v>
      </c>
      <c r="P20">
        <v>0</v>
      </c>
      <c r="Q20">
        <v>1</v>
      </c>
      <c r="R20">
        <v>1</v>
      </c>
      <c r="S20">
        <v>0</v>
      </c>
      <c r="T20">
        <v>0.6</v>
      </c>
      <c r="U20">
        <v>1.3</v>
      </c>
      <c r="V20">
        <v>0.8</v>
      </c>
      <c r="W20">
        <v>0</v>
      </c>
      <c r="X20">
        <v>0</v>
      </c>
      <c r="Y20">
        <v>0</v>
      </c>
      <c r="Z20">
        <v>0</v>
      </c>
      <c r="AA20">
        <v>0.1</v>
      </c>
      <c r="AB20" s="2" t="s">
        <v>374</v>
      </c>
      <c r="AC20">
        <v>0</v>
      </c>
      <c r="AD20">
        <v>0</v>
      </c>
      <c r="AE20">
        <v>0</v>
      </c>
      <c r="AF20" s="2">
        <v>23</v>
      </c>
      <c r="AG20">
        <v>0</v>
      </c>
      <c r="AH20">
        <v>0</v>
      </c>
      <c r="AI20">
        <v>0</v>
      </c>
      <c r="AJ20">
        <v>0</v>
      </c>
      <c r="AO20">
        <v>5</v>
      </c>
      <c r="AQ20">
        <v>1</v>
      </c>
      <c r="AS20" s="5">
        <v>2.1</v>
      </c>
      <c r="AT20" s="5" t="str">
        <f t="shared" si="0"/>
        <v>Blank</v>
      </c>
      <c r="AU20" s="5" t="str">
        <f t="shared" si="1"/>
        <v>Number</v>
      </c>
      <c r="AV20" s="5" t="str">
        <f t="shared" si="2"/>
        <v>Diff</v>
      </c>
      <c r="AX20" s="5">
        <v>2</v>
      </c>
      <c r="AY20" s="5" t="str">
        <f t="shared" si="3"/>
        <v>Blank</v>
      </c>
      <c r="AZ20" s="5" t="str">
        <f t="shared" si="4"/>
        <v>Number</v>
      </c>
      <c r="BA20" s="5" t="str">
        <f t="shared" si="5"/>
        <v>Diff</v>
      </c>
      <c r="BB20" s="5">
        <v>1.0900000000000001</v>
      </c>
      <c r="BC20" s="5">
        <v>1</v>
      </c>
      <c r="BE20" s="5">
        <v>0.6</v>
      </c>
      <c r="BF20" s="5">
        <v>3</v>
      </c>
      <c r="BH20" s="5">
        <v>1</v>
      </c>
      <c r="BI20" s="5">
        <v>0.13</v>
      </c>
      <c r="BJ20" s="5">
        <v>0.26</v>
      </c>
      <c r="BK20" s="5" t="str">
        <f t="shared" si="6"/>
        <v>Number</v>
      </c>
      <c r="BL20" s="5" t="str">
        <f t="shared" si="7"/>
        <v>Number</v>
      </c>
      <c r="BM20" s="5" t="str">
        <f t="shared" si="8"/>
        <v>Diff</v>
      </c>
      <c r="BN20" s="5">
        <v>0.3</v>
      </c>
      <c r="BO20" s="5">
        <v>0.5</v>
      </c>
      <c r="BP20" s="5" t="str">
        <f t="shared" si="9"/>
        <v>Number</v>
      </c>
      <c r="BQ20" s="5" t="str">
        <f t="shared" si="10"/>
        <v>Number</v>
      </c>
      <c r="BR20" s="5" t="str">
        <f t="shared" si="11"/>
        <v>Diff</v>
      </c>
      <c r="BS20" s="5">
        <v>0.78</v>
      </c>
      <c r="BT20" s="5">
        <v>0.7</v>
      </c>
      <c r="BU20" s="5">
        <v>0.7</v>
      </c>
      <c r="BX20" s="5">
        <v>0.6</v>
      </c>
      <c r="CA20" t="str">
        <f>IF(OR(AV20="Diff",BA20="Diff",BM20="Diff",BR20="Diff"),"Diff","")</f>
        <v>Diff</v>
      </c>
    </row>
    <row r="21" spans="1:79" hidden="1" x14ac:dyDescent="0.25">
      <c r="A21" t="s">
        <v>248</v>
      </c>
      <c r="B21" t="s">
        <v>167</v>
      </c>
      <c r="C21" t="s">
        <v>387</v>
      </c>
      <c r="D21" t="s">
        <v>409</v>
      </c>
      <c r="E21">
        <v>0</v>
      </c>
      <c r="F21">
        <v>0</v>
      </c>
      <c r="G21" t="s">
        <v>390</v>
      </c>
      <c r="H21" t="s">
        <v>384</v>
      </c>
      <c r="I21" t="s">
        <v>408</v>
      </c>
      <c r="J21" t="s">
        <v>392</v>
      </c>
      <c r="K21">
        <v>3000</v>
      </c>
      <c r="L21">
        <v>2200</v>
      </c>
      <c r="M21">
        <v>0</v>
      </c>
      <c r="N21">
        <v>0</v>
      </c>
      <c r="O21">
        <v>0</v>
      </c>
      <c r="P21">
        <v>0</v>
      </c>
      <c r="Q21">
        <v>1</v>
      </c>
      <c r="R21">
        <v>1</v>
      </c>
      <c r="S21">
        <v>1</v>
      </c>
      <c r="T21">
        <v>8</v>
      </c>
      <c r="U21">
        <v>0</v>
      </c>
      <c r="V21">
        <v>0</v>
      </c>
      <c r="W21">
        <v>1</v>
      </c>
      <c r="X21">
        <v>0</v>
      </c>
      <c r="Y21">
        <v>120</v>
      </c>
      <c r="Z21">
        <v>120</v>
      </c>
      <c r="AA21">
        <v>0.1</v>
      </c>
      <c r="AB21" s="2" t="s">
        <v>374</v>
      </c>
      <c r="AC21">
        <v>1</v>
      </c>
      <c r="AD21">
        <v>0</v>
      </c>
      <c r="AE21">
        <v>0</v>
      </c>
      <c r="AF21">
        <v>0</v>
      </c>
      <c r="AG21">
        <v>-180</v>
      </c>
      <c r="AH21">
        <v>180</v>
      </c>
      <c r="AI21">
        <v>-10</v>
      </c>
      <c r="AJ21">
        <v>60</v>
      </c>
      <c r="AK21" t="s">
        <v>410</v>
      </c>
      <c r="AL21" t="s">
        <v>409</v>
      </c>
      <c r="AM21">
        <v>0</v>
      </c>
      <c r="AN21">
        <v>0</v>
      </c>
      <c r="AO21">
        <v>5</v>
      </c>
      <c r="AP21"/>
      <c r="AQ21">
        <v>1</v>
      </c>
      <c r="AT21" s="5" t="str">
        <f t="shared" si="0"/>
        <v>Blank</v>
      </c>
      <c r="AU21" s="5" t="str">
        <f t="shared" si="1"/>
        <v>Blank</v>
      </c>
      <c r="AV21" s="5" t="str">
        <f t="shared" si="2"/>
        <v/>
      </c>
      <c r="AY21" s="5" t="str">
        <f t="shared" si="3"/>
        <v>Blank</v>
      </c>
      <c r="AZ21" s="5" t="str">
        <f t="shared" si="4"/>
        <v>Blank</v>
      </c>
      <c r="BA21" s="5" t="str">
        <f t="shared" si="5"/>
        <v/>
      </c>
      <c r="BH21" s="5">
        <v>1</v>
      </c>
      <c r="BI21" s="5">
        <v>5.0000000000000001E-3</v>
      </c>
      <c r="BJ21" s="5">
        <v>5.0000000000000001E-3</v>
      </c>
      <c r="BK21" s="5" t="str">
        <f t="shared" si="6"/>
        <v>Number</v>
      </c>
      <c r="BL21" s="5" t="str">
        <f t="shared" si="7"/>
        <v>Number</v>
      </c>
      <c r="BM21" s="5" t="str">
        <f t="shared" si="8"/>
        <v/>
      </c>
      <c r="BN21" s="5">
        <v>0.15</v>
      </c>
      <c r="BO21" s="5">
        <v>0.15</v>
      </c>
      <c r="BP21" s="5" t="str">
        <f t="shared" si="9"/>
        <v>Number</v>
      </c>
      <c r="BQ21" s="5" t="str">
        <f t="shared" si="10"/>
        <v>Number</v>
      </c>
      <c r="BR21" s="5" t="str">
        <f t="shared" si="11"/>
        <v/>
      </c>
      <c r="CA21" t="str">
        <f>IF(OR(AV21="Diff",BA21="Diff",BM21="Diff",BR21="Diff"),"Diff","")</f>
        <v/>
      </c>
    </row>
    <row r="22" spans="1:79" hidden="1" x14ac:dyDescent="0.25">
      <c r="A22" t="s">
        <v>249</v>
      </c>
      <c r="B22" t="s">
        <v>167</v>
      </c>
      <c r="C22" t="s">
        <v>387</v>
      </c>
      <c r="D22" t="s">
        <v>388</v>
      </c>
      <c r="E22">
        <v>535</v>
      </c>
      <c r="F22">
        <v>535</v>
      </c>
      <c r="G22" t="s">
        <v>390</v>
      </c>
      <c r="H22" t="s">
        <v>384</v>
      </c>
      <c r="I22" t="s">
        <v>391</v>
      </c>
      <c r="J22" t="s">
        <v>392</v>
      </c>
      <c r="K22" s="2">
        <v>5000</v>
      </c>
      <c r="L22">
        <v>4500</v>
      </c>
      <c r="M22">
        <v>0</v>
      </c>
      <c r="N22">
        <v>0</v>
      </c>
      <c r="O22">
        <v>0</v>
      </c>
      <c r="P22">
        <v>0</v>
      </c>
      <c r="Q22">
        <v>1</v>
      </c>
      <c r="R22">
        <v>1</v>
      </c>
      <c r="S22">
        <v>1</v>
      </c>
      <c r="T22">
        <v>6.5</v>
      </c>
      <c r="U22">
        <v>0</v>
      </c>
      <c r="V22">
        <v>0</v>
      </c>
      <c r="W22">
        <v>1</v>
      </c>
      <c r="X22">
        <v>1</v>
      </c>
      <c r="Y22">
        <v>40</v>
      </c>
      <c r="Z22">
        <v>25</v>
      </c>
      <c r="AA22">
        <v>0.1</v>
      </c>
      <c r="AB22" s="2" t="s">
        <v>374</v>
      </c>
      <c r="AC22">
        <v>1</v>
      </c>
      <c r="AD22">
        <v>0</v>
      </c>
      <c r="AE22">
        <v>0</v>
      </c>
      <c r="AF22">
        <v>0</v>
      </c>
      <c r="AG22">
        <v>-120</v>
      </c>
      <c r="AH22">
        <v>120</v>
      </c>
      <c r="AI22">
        <v>-2.5</v>
      </c>
      <c r="AJ22">
        <v>60</v>
      </c>
      <c r="AO22">
        <v>30</v>
      </c>
      <c r="AP22"/>
      <c r="AQ22">
        <v>1</v>
      </c>
      <c r="AR22" s="5">
        <v>1</v>
      </c>
      <c r="AS22" s="5">
        <v>1</v>
      </c>
      <c r="AT22" s="5" t="str">
        <f t="shared" si="0"/>
        <v>Number</v>
      </c>
      <c r="AU22" s="5" t="str">
        <f t="shared" si="1"/>
        <v>Number</v>
      </c>
      <c r="AV22" s="5" t="str">
        <f t="shared" si="2"/>
        <v/>
      </c>
      <c r="AW22" s="5">
        <v>1</v>
      </c>
      <c r="AX22" s="5">
        <v>1</v>
      </c>
      <c r="AY22" s="5" t="str">
        <f t="shared" si="3"/>
        <v>Number</v>
      </c>
      <c r="AZ22" s="5" t="str">
        <f t="shared" si="4"/>
        <v>Number</v>
      </c>
      <c r="BA22" s="5" t="str">
        <f t="shared" si="5"/>
        <v/>
      </c>
      <c r="BC22" s="5">
        <v>1</v>
      </c>
      <c r="BE22" s="5">
        <v>0.7</v>
      </c>
      <c r="BF22" s="5">
        <v>0.3</v>
      </c>
      <c r="BH22" s="5">
        <v>1</v>
      </c>
      <c r="BI22" s="5">
        <v>0.1</v>
      </c>
      <c r="BJ22" s="5">
        <v>0.1</v>
      </c>
      <c r="BK22" s="5" t="str">
        <f t="shared" si="6"/>
        <v>Number</v>
      </c>
      <c r="BL22" s="5" t="str">
        <f t="shared" si="7"/>
        <v>Number</v>
      </c>
      <c r="BM22" s="5" t="str">
        <f t="shared" si="8"/>
        <v/>
      </c>
      <c r="BN22" s="5">
        <v>0.05</v>
      </c>
      <c r="BO22" s="5">
        <v>0.05</v>
      </c>
      <c r="BP22" s="5" t="str">
        <f t="shared" si="9"/>
        <v>Number</v>
      </c>
      <c r="BQ22" s="5" t="str">
        <f t="shared" si="10"/>
        <v>Number</v>
      </c>
      <c r="BR22" s="5" t="str">
        <f t="shared" si="11"/>
        <v/>
      </c>
      <c r="BS22" s="5">
        <v>1</v>
      </c>
      <c r="BT22" s="5">
        <v>1</v>
      </c>
      <c r="BU22" s="5">
        <v>1</v>
      </c>
      <c r="BW22" s="5">
        <v>0.75</v>
      </c>
      <c r="CA22" t="str">
        <f>IF(OR(AV22="Diff",BA22="Diff",BM22="Diff",BR22="Diff"),"Diff","")</f>
        <v/>
      </c>
    </row>
    <row r="23" spans="1:79" hidden="1" x14ac:dyDescent="0.25">
      <c r="A23" t="s">
        <v>250</v>
      </c>
      <c r="B23" t="s">
        <v>167</v>
      </c>
      <c r="C23" t="s">
        <v>387</v>
      </c>
      <c r="D23" t="s">
        <v>388</v>
      </c>
      <c r="E23">
        <v>5000</v>
      </c>
      <c r="F23" s="2">
        <v>5500</v>
      </c>
      <c r="G23" t="s">
        <v>383</v>
      </c>
      <c r="H23" t="s">
        <v>411</v>
      </c>
      <c r="I23" t="s">
        <v>412</v>
      </c>
      <c r="J23" t="s">
        <v>413</v>
      </c>
      <c r="K23">
        <v>400</v>
      </c>
      <c r="L23" s="2">
        <v>1500</v>
      </c>
      <c r="M23">
        <v>0</v>
      </c>
      <c r="N23">
        <v>0</v>
      </c>
      <c r="O23">
        <v>0</v>
      </c>
      <c r="P23">
        <v>0</v>
      </c>
      <c r="Q23">
        <v>1</v>
      </c>
      <c r="R23">
        <v>0</v>
      </c>
      <c r="S23">
        <v>0</v>
      </c>
      <c r="T23">
        <v>0.5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0.1</v>
      </c>
      <c r="AB23" s="2" t="s">
        <v>374</v>
      </c>
      <c r="AC23">
        <v>0</v>
      </c>
      <c r="AD23">
        <v>0</v>
      </c>
      <c r="AE23">
        <v>0</v>
      </c>
      <c r="AF23">
        <v>179</v>
      </c>
      <c r="AG23">
        <v>0</v>
      </c>
      <c r="AH23">
        <v>0</v>
      </c>
      <c r="AI23">
        <v>0</v>
      </c>
      <c r="AJ23">
        <v>0</v>
      </c>
      <c r="AO23">
        <v>5</v>
      </c>
      <c r="AP23"/>
      <c r="AQ23">
        <v>1</v>
      </c>
      <c r="AT23" s="5" t="str">
        <f t="shared" si="0"/>
        <v>Blank</v>
      </c>
      <c r="AU23" s="5" t="str">
        <f t="shared" si="1"/>
        <v>Blank</v>
      </c>
      <c r="AV23" s="5" t="str">
        <f t="shared" si="2"/>
        <v/>
      </c>
      <c r="AY23" s="5" t="str">
        <f t="shared" si="3"/>
        <v>Blank</v>
      </c>
      <c r="AZ23" s="5" t="str">
        <f t="shared" si="4"/>
        <v>Blank</v>
      </c>
      <c r="BA23" s="5" t="str">
        <f t="shared" si="5"/>
        <v/>
      </c>
      <c r="BG23" s="5">
        <v>0</v>
      </c>
      <c r="BH23" s="5">
        <v>1</v>
      </c>
      <c r="BI23" s="5">
        <v>0</v>
      </c>
      <c r="BJ23" s="5">
        <v>0</v>
      </c>
      <c r="BK23" s="5" t="str">
        <f t="shared" si="6"/>
        <v>Zero</v>
      </c>
      <c r="BL23" s="5" t="str">
        <f t="shared" si="7"/>
        <v>Zero</v>
      </c>
      <c r="BM23" s="5" t="str">
        <f t="shared" si="8"/>
        <v/>
      </c>
      <c r="BN23" s="5">
        <v>0</v>
      </c>
      <c r="BO23" s="5">
        <v>0</v>
      </c>
      <c r="BP23" s="5" t="str">
        <f t="shared" si="9"/>
        <v>Zero</v>
      </c>
      <c r="BQ23" s="5" t="str">
        <f t="shared" si="10"/>
        <v>Zero</v>
      </c>
      <c r="BR23" s="5" t="str">
        <f t="shared" si="11"/>
        <v/>
      </c>
      <c r="CA23" t="str">
        <f>IF(OR(AV23="Diff",BA23="Diff",BM23="Diff",BR23="Diff"),"Diff","")</f>
        <v/>
      </c>
    </row>
    <row r="24" spans="1:79" x14ac:dyDescent="0.25">
      <c r="A24" t="s">
        <v>251</v>
      </c>
      <c r="B24" t="s">
        <v>167</v>
      </c>
      <c r="C24" t="s">
        <v>387</v>
      </c>
      <c r="D24" t="s">
        <v>388</v>
      </c>
      <c r="E24">
        <v>42</v>
      </c>
      <c r="F24">
        <v>42</v>
      </c>
      <c r="G24" t="s">
        <v>390</v>
      </c>
      <c r="H24" t="s">
        <v>384</v>
      </c>
      <c r="I24" t="s">
        <v>414</v>
      </c>
      <c r="J24" t="s">
        <v>392</v>
      </c>
      <c r="K24">
        <v>1500</v>
      </c>
      <c r="L24">
        <v>1200</v>
      </c>
      <c r="M24">
        <v>0</v>
      </c>
      <c r="N24">
        <v>0</v>
      </c>
      <c r="O24">
        <v>0</v>
      </c>
      <c r="P24">
        <v>0</v>
      </c>
      <c r="Q24">
        <v>1</v>
      </c>
      <c r="R24">
        <v>1</v>
      </c>
      <c r="S24">
        <v>0</v>
      </c>
      <c r="T24">
        <v>3</v>
      </c>
      <c r="U24">
        <v>0</v>
      </c>
      <c r="V24">
        <v>0</v>
      </c>
      <c r="W24">
        <v>1</v>
      </c>
      <c r="X24">
        <v>0</v>
      </c>
      <c r="Y24">
        <v>60</v>
      </c>
      <c r="Z24">
        <v>60</v>
      </c>
      <c r="AA24">
        <v>0.1</v>
      </c>
      <c r="AB24" s="2" t="s">
        <v>374</v>
      </c>
      <c r="AC24">
        <v>1</v>
      </c>
      <c r="AD24">
        <v>0</v>
      </c>
      <c r="AE24">
        <v>0</v>
      </c>
      <c r="AF24">
        <v>0</v>
      </c>
      <c r="AG24">
        <v>-180</v>
      </c>
      <c r="AH24">
        <v>180</v>
      </c>
      <c r="AI24">
        <v>-10</v>
      </c>
      <c r="AJ24">
        <v>60</v>
      </c>
      <c r="AO24">
        <v>5</v>
      </c>
      <c r="AQ24">
        <v>1</v>
      </c>
      <c r="AT24" s="5" t="str">
        <f t="shared" si="0"/>
        <v>Blank</v>
      </c>
      <c r="AU24" s="5" t="str">
        <f t="shared" si="1"/>
        <v>Blank</v>
      </c>
      <c r="AV24" s="5" t="str">
        <f t="shared" si="2"/>
        <v/>
      </c>
      <c r="AY24" s="5" t="str">
        <f t="shared" si="3"/>
        <v>Blank</v>
      </c>
      <c r="AZ24" s="5" t="str">
        <f t="shared" si="4"/>
        <v>Blank</v>
      </c>
      <c r="BA24" s="5" t="str">
        <f t="shared" si="5"/>
        <v/>
      </c>
      <c r="BE24" s="5">
        <v>0.8</v>
      </c>
      <c r="BG24" s="5">
        <v>1</v>
      </c>
      <c r="BH24" s="5">
        <v>1</v>
      </c>
      <c r="BI24" s="5">
        <v>0.1</v>
      </c>
      <c r="BJ24" s="5">
        <v>0.1</v>
      </c>
      <c r="BK24" s="5" t="str">
        <f t="shared" si="6"/>
        <v>Number</v>
      </c>
      <c r="BL24" s="5" t="str">
        <f t="shared" si="7"/>
        <v>Number</v>
      </c>
      <c r="BM24" s="5" t="str">
        <f t="shared" si="8"/>
        <v/>
      </c>
      <c r="BN24" s="5">
        <v>0.13</v>
      </c>
      <c r="BO24" s="5">
        <v>0.15</v>
      </c>
      <c r="BP24" s="5" t="str">
        <f t="shared" si="9"/>
        <v>Number</v>
      </c>
      <c r="BQ24" s="5" t="str">
        <f t="shared" si="10"/>
        <v>Number</v>
      </c>
      <c r="BR24" s="5" t="str">
        <f t="shared" si="11"/>
        <v>Diff</v>
      </c>
      <c r="BS24" s="5">
        <v>0.8</v>
      </c>
      <c r="BT24" s="5">
        <v>0.6</v>
      </c>
      <c r="BU24" s="5">
        <v>0.6</v>
      </c>
      <c r="BX24" s="5">
        <v>0.6</v>
      </c>
      <c r="CA24" t="str">
        <f>IF(OR(AV24="Diff",BA24="Diff",BM24="Diff",BR24="Diff"),"Diff","")</f>
        <v>Diff</v>
      </c>
    </row>
    <row r="25" spans="1:79" hidden="1" x14ac:dyDescent="0.25">
      <c r="A25" t="s">
        <v>252</v>
      </c>
      <c r="B25" t="s">
        <v>167</v>
      </c>
      <c r="C25" t="s">
        <v>387</v>
      </c>
      <c r="D25" t="s">
        <v>388</v>
      </c>
      <c r="E25">
        <v>100</v>
      </c>
      <c r="F25">
        <v>100</v>
      </c>
      <c r="G25" t="s">
        <v>396</v>
      </c>
      <c r="H25" t="s">
        <v>400</v>
      </c>
      <c r="I25" t="s">
        <v>415</v>
      </c>
      <c r="J25" t="s">
        <v>392</v>
      </c>
      <c r="K25">
        <v>0</v>
      </c>
      <c r="L25">
        <v>0</v>
      </c>
      <c r="M25">
        <v>200</v>
      </c>
      <c r="N25">
        <v>2</v>
      </c>
      <c r="O25">
        <v>0</v>
      </c>
      <c r="P25">
        <v>0</v>
      </c>
      <c r="Q25">
        <v>10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0.1</v>
      </c>
      <c r="AB25" s="2" t="s">
        <v>374</v>
      </c>
      <c r="AC25">
        <v>1</v>
      </c>
      <c r="AD25">
        <v>0</v>
      </c>
      <c r="AE25">
        <v>0</v>
      </c>
      <c r="AO25">
        <v>5</v>
      </c>
      <c r="AP25"/>
      <c r="AQ25">
        <v>1</v>
      </c>
      <c r="AT25" s="5" t="str">
        <f t="shared" si="0"/>
        <v>Blank</v>
      </c>
      <c r="AU25" s="5" t="str">
        <f t="shared" si="1"/>
        <v>Blank</v>
      </c>
      <c r="AV25" s="5" t="str">
        <f t="shared" si="2"/>
        <v/>
      </c>
      <c r="AW25" s="5">
        <v>0</v>
      </c>
      <c r="AX25" s="5">
        <v>0</v>
      </c>
      <c r="AY25" s="5" t="str">
        <f t="shared" si="3"/>
        <v>Zero</v>
      </c>
      <c r="AZ25" s="5" t="str">
        <f t="shared" si="4"/>
        <v>Zero</v>
      </c>
      <c r="BA25" s="5" t="str">
        <f t="shared" si="5"/>
        <v/>
      </c>
      <c r="BB25" s="5">
        <v>0.4</v>
      </c>
      <c r="BC25" s="5">
        <v>0.4</v>
      </c>
      <c r="BD25" s="5">
        <v>0.3</v>
      </c>
      <c r="BE25" s="5">
        <v>0.15</v>
      </c>
      <c r="BK25" s="5" t="str">
        <f t="shared" si="6"/>
        <v>Blank</v>
      </c>
      <c r="BL25" s="5" t="str">
        <f t="shared" si="7"/>
        <v>Blank</v>
      </c>
      <c r="BM25" s="5" t="str">
        <f t="shared" si="8"/>
        <v/>
      </c>
      <c r="BP25" s="5" t="str">
        <f t="shared" si="9"/>
        <v>Blank</v>
      </c>
      <c r="BQ25" s="5" t="str">
        <f t="shared" si="10"/>
        <v>Blank</v>
      </c>
      <c r="BR25" s="5" t="str">
        <f t="shared" si="11"/>
        <v/>
      </c>
      <c r="CA25" t="str">
        <f>IF(OR(AV25="Diff",BA25="Diff",BM25="Diff",BR25="Diff"),"Diff","")</f>
        <v/>
      </c>
    </row>
    <row r="26" spans="1:79" hidden="1" x14ac:dyDescent="0.25">
      <c r="A26" t="s">
        <v>253</v>
      </c>
      <c r="B26" t="s">
        <v>167</v>
      </c>
      <c r="C26" t="s">
        <v>387</v>
      </c>
      <c r="D26" t="s">
        <v>409</v>
      </c>
      <c r="E26">
        <v>0</v>
      </c>
      <c r="F26">
        <v>0</v>
      </c>
      <c r="G26" t="s">
        <v>390</v>
      </c>
      <c r="H26" t="s">
        <v>384</v>
      </c>
      <c r="I26" t="s">
        <v>408</v>
      </c>
      <c r="J26" t="s">
        <v>392</v>
      </c>
      <c r="K26">
        <v>3000</v>
      </c>
      <c r="L26">
        <v>8000</v>
      </c>
      <c r="M26">
        <v>0</v>
      </c>
      <c r="N26">
        <v>0</v>
      </c>
      <c r="O26">
        <v>0</v>
      </c>
      <c r="P26">
        <v>0</v>
      </c>
      <c r="Q26">
        <v>1</v>
      </c>
      <c r="R26">
        <v>1</v>
      </c>
      <c r="S26">
        <v>0</v>
      </c>
      <c r="T26">
        <v>10</v>
      </c>
      <c r="U26">
        <v>0</v>
      </c>
      <c r="V26">
        <v>0</v>
      </c>
      <c r="W26">
        <v>0</v>
      </c>
      <c r="X26">
        <v>0</v>
      </c>
      <c r="Y26">
        <v>120</v>
      </c>
      <c r="Z26">
        <v>120</v>
      </c>
      <c r="AA26">
        <v>0.1</v>
      </c>
      <c r="AB26" s="2" t="s">
        <v>374</v>
      </c>
      <c r="AC26">
        <v>1</v>
      </c>
      <c r="AD26">
        <v>0</v>
      </c>
      <c r="AE26">
        <v>0</v>
      </c>
      <c r="AF26">
        <v>0</v>
      </c>
      <c r="AG26">
        <v>-180</v>
      </c>
      <c r="AH26">
        <v>180</v>
      </c>
      <c r="AI26">
        <v>-10</v>
      </c>
      <c r="AJ26">
        <v>60</v>
      </c>
      <c r="AK26" t="s">
        <v>410</v>
      </c>
      <c r="AL26" t="s">
        <v>409</v>
      </c>
      <c r="AM26">
        <v>0</v>
      </c>
      <c r="AN26">
        <v>0</v>
      </c>
      <c r="AO26">
        <v>0</v>
      </c>
      <c r="AP26"/>
      <c r="AQ26">
        <v>1</v>
      </c>
      <c r="AT26" s="5" t="str">
        <f t="shared" si="0"/>
        <v>Blank</v>
      </c>
      <c r="AU26" s="5" t="str">
        <f t="shared" si="1"/>
        <v>Blank</v>
      </c>
      <c r="AV26" s="5" t="str">
        <f t="shared" si="2"/>
        <v/>
      </c>
      <c r="AY26" s="5" t="str">
        <f t="shared" si="3"/>
        <v>Blank</v>
      </c>
      <c r="AZ26" s="5" t="str">
        <f t="shared" si="4"/>
        <v>Blank</v>
      </c>
      <c r="BA26" s="5" t="str">
        <f t="shared" si="5"/>
        <v/>
      </c>
      <c r="BG26" s="5">
        <v>1</v>
      </c>
      <c r="BH26" s="5">
        <v>0</v>
      </c>
      <c r="BK26" s="5" t="str">
        <f t="shared" si="6"/>
        <v>Blank</v>
      </c>
      <c r="BL26" s="5" t="str">
        <f t="shared" si="7"/>
        <v>Blank</v>
      </c>
      <c r="BM26" s="5" t="str">
        <f t="shared" si="8"/>
        <v/>
      </c>
      <c r="BP26" s="5" t="str">
        <f t="shared" si="9"/>
        <v>Blank</v>
      </c>
      <c r="BQ26" s="5" t="str">
        <f t="shared" si="10"/>
        <v>Blank</v>
      </c>
      <c r="BR26" s="5" t="str">
        <f t="shared" si="11"/>
        <v/>
      </c>
      <c r="BZ26" s="5">
        <v>1</v>
      </c>
      <c r="CA26" t="str">
        <f>IF(OR(AV26="Diff",BA26="Diff",BM26="Diff",BR26="Diff"),"Diff","")</f>
        <v/>
      </c>
    </row>
    <row r="27" spans="1:79" x14ac:dyDescent="0.25">
      <c r="A27" t="s">
        <v>254</v>
      </c>
      <c r="B27" t="s">
        <v>167</v>
      </c>
      <c r="C27" t="s">
        <v>387</v>
      </c>
      <c r="D27" t="s">
        <v>388</v>
      </c>
      <c r="E27" s="2">
        <v>5</v>
      </c>
      <c r="F27" s="2">
        <v>7</v>
      </c>
      <c r="G27" t="s">
        <v>383</v>
      </c>
      <c r="H27" t="s">
        <v>384</v>
      </c>
      <c r="I27" s="2" t="s">
        <v>414</v>
      </c>
      <c r="J27" t="s">
        <v>392</v>
      </c>
      <c r="K27" s="2">
        <v>1500</v>
      </c>
      <c r="L27">
        <v>2200</v>
      </c>
      <c r="M27">
        <v>0</v>
      </c>
      <c r="N27">
        <v>0</v>
      </c>
      <c r="O27">
        <v>0</v>
      </c>
      <c r="P27">
        <v>0</v>
      </c>
      <c r="Q27">
        <v>1</v>
      </c>
      <c r="R27">
        <v>1</v>
      </c>
      <c r="S27">
        <v>0</v>
      </c>
      <c r="T27" s="2">
        <v>0.3</v>
      </c>
      <c r="U27" s="2">
        <v>2</v>
      </c>
      <c r="V27" s="2">
        <v>2</v>
      </c>
      <c r="W27" s="2">
        <v>0</v>
      </c>
      <c r="X27">
        <v>0</v>
      </c>
      <c r="Y27">
        <v>0</v>
      </c>
      <c r="Z27">
        <v>0</v>
      </c>
      <c r="AA27">
        <v>0.1</v>
      </c>
      <c r="AB27" s="2" t="s">
        <v>374</v>
      </c>
      <c r="AC27">
        <v>0</v>
      </c>
      <c r="AD27">
        <v>0</v>
      </c>
      <c r="AE27">
        <v>0</v>
      </c>
      <c r="AF27">
        <v>90</v>
      </c>
      <c r="AG27">
        <v>0</v>
      </c>
      <c r="AH27">
        <v>0</v>
      </c>
      <c r="AI27">
        <v>0</v>
      </c>
      <c r="AJ27">
        <v>0</v>
      </c>
      <c r="AO27">
        <v>5</v>
      </c>
      <c r="AQ27">
        <v>1</v>
      </c>
      <c r="AR27" s="5">
        <v>1</v>
      </c>
      <c r="AS27" s="5">
        <v>2</v>
      </c>
      <c r="AT27" s="5" t="str">
        <f t="shared" si="0"/>
        <v>Number</v>
      </c>
      <c r="AU27" s="5" t="str">
        <f t="shared" si="1"/>
        <v>Number</v>
      </c>
      <c r="AV27" s="5" t="str">
        <f t="shared" si="2"/>
        <v>Diff</v>
      </c>
      <c r="AW27" s="5">
        <v>2</v>
      </c>
      <c r="AX27" s="5">
        <v>4</v>
      </c>
      <c r="AY27" s="5" t="str">
        <f t="shared" si="3"/>
        <v>Number</v>
      </c>
      <c r="AZ27" s="5" t="str">
        <f t="shared" si="4"/>
        <v>Number</v>
      </c>
      <c r="BA27" s="5" t="str">
        <f t="shared" si="5"/>
        <v>Diff</v>
      </c>
      <c r="BD27" s="5">
        <v>3</v>
      </c>
      <c r="BE27" s="5">
        <v>0.75</v>
      </c>
      <c r="BH27" s="5">
        <v>0</v>
      </c>
      <c r="BI27" s="5">
        <v>0.16</v>
      </c>
      <c r="BJ27" s="5">
        <v>0.16</v>
      </c>
      <c r="BK27" s="5" t="str">
        <f t="shared" si="6"/>
        <v>Number</v>
      </c>
      <c r="BL27" s="5" t="str">
        <f t="shared" si="7"/>
        <v>Number</v>
      </c>
      <c r="BM27" s="5" t="str">
        <f t="shared" si="8"/>
        <v/>
      </c>
      <c r="BN27" s="5">
        <v>0.5</v>
      </c>
      <c r="BO27" s="5">
        <v>0.5</v>
      </c>
      <c r="BP27" s="5" t="str">
        <f t="shared" si="9"/>
        <v>Number</v>
      </c>
      <c r="BQ27" s="5" t="str">
        <f t="shared" si="10"/>
        <v>Number</v>
      </c>
      <c r="BR27" s="5" t="str">
        <f t="shared" si="11"/>
        <v/>
      </c>
      <c r="BS27" s="5">
        <v>1</v>
      </c>
      <c r="BX27" s="5">
        <v>0.6</v>
      </c>
      <c r="CA27" t="str">
        <f>IF(OR(AV27="Diff",BA27="Diff",BM27="Diff",BR27="Diff"),"Diff","")</f>
        <v>Diff</v>
      </c>
    </row>
    <row r="28" spans="1:79" x14ac:dyDescent="0.25">
      <c r="A28" s="3" t="s">
        <v>312</v>
      </c>
      <c r="B28" t="s">
        <v>167</v>
      </c>
      <c r="C28" t="s">
        <v>387</v>
      </c>
      <c r="D28" t="s">
        <v>388</v>
      </c>
      <c r="E28">
        <v>5</v>
      </c>
      <c r="F28">
        <v>7</v>
      </c>
      <c r="G28" t="s">
        <v>383</v>
      </c>
      <c r="H28" t="s">
        <v>384</v>
      </c>
      <c r="I28" t="s">
        <v>414</v>
      </c>
      <c r="J28" t="s">
        <v>392</v>
      </c>
      <c r="K28">
        <v>1500</v>
      </c>
      <c r="L28">
        <v>2200</v>
      </c>
      <c r="M28">
        <v>0</v>
      </c>
      <c r="N28">
        <v>0</v>
      </c>
      <c r="O28">
        <v>0</v>
      </c>
      <c r="P28">
        <v>0</v>
      </c>
      <c r="Q28">
        <v>1</v>
      </c>
      <c r="R28">
        <v>1</v>
      </c>
      <c r="S28">
        <v>0</v>
      </c>
      <c r="T28">
        <v>0.3</v>
      </c>
      <c r="U28">
        <v>2</v>
      </c>
      <c r="V28">
        <v>2</v>
      </c>
      <c r="W28">
        <v>0</v>
      </c>
      <c r="X28">
        <v>0</v>
      </c>
      <c r="Y28">
        <v>0</v>
      </c>
      <c r="Z28">
        <v>0</v>
      </c>
      <c r="AA28">
        <v>0.1</v>
      </c>
      <c r="AB28" t="s">
        <v>374</v>
      </c>
      <c r="AC28">
        <v>0</v>
      </c>
      <c r="AD28">
        <v>0</v>
      </c>
      <c r="AE28">
        <v>0</v>
      </c>
      <c r="AF28">
        <v>90</v>
      </c>
      <c r="AG28">
        <v>0</v>
      </c>
      <c r="AH28">
        <v>0</v>
      </c>
      <c r="AI28">
        <v>0</v>
      </c>
      <c r="AJ28">
        <v>0</v>
      </c>
      <c r="AO28">
        <v>5</v>
      </c>
      <c r="AQ28">
        <v>1</v>
      </c>
      <c r="AR28" s="5">
        <v>1</v>
      </c>
      <c r="AS28" s="5">
        <v>3.5</v>
      </c>
      <c r="AT28" s="5" t="str">
        <f t="shared" si="0"/>
        <v>Number</v>
      </c>
      <c r="AU28" s="5" t="str">
        <f t="shared" si="1"/>
        <v>Number</v>
      </c>
      <c r="AV28" s="5" t="str">
        <f t="shared" si="2"/>
        <v>Diff</v>
      </c>
      <c r="AW28" s="5">
        <v>2</v>
      </c>
      <c r="AX28" s="5">
        <v>4</v>
      </c>
      <c r="AY28" s="5" t="str">
        <f t="shared" si="3"/>
        <v>Number</v>
      </c>
      <c r="AZ28" s="5" t="str">
        <f t="shared" si="4"/>
        <v>Number</v>
      </c>
      <c r="BA28" s="5" t="str">
        <f t="shared" si="5"/>
        <v>Diff</v>
      </c>
      <c r="BD28" s="5">
        <v>3</v>
      </c>
      <c r="BE28" s="5">
        <v>0.75</v>
      </c>
      <c r="BH28" s="5">
        <v>0</v>
      </c>
      <c r="BI28" s="5">
        <v>0.16</v>
      </c>
      <c r="BJ28" s="5">
        <v>0.32</v>
      </c>
      <c r="BK28" s="5" t="str">
        <f t="shared" si="6"/>
        <v>Number</v>
      </c>
      <c r="BL28" s="5" t="str">
        <f t="shared" si="7"/>
        <v>Number</v>
      </c>
      <c r="BM28" s="5" t="str">
        <f t="shared" si="8"/>
        <v>Diff</v>
      </c>
      <c r="BN28" s="5">
        <v>0.5</v>
      </c>
      <c r="BO28" s="5">
        <v>0.65</v>
      </c>
      <c r="BP28" s="5" t="str">
        <f t="shared" si="9"/>
        <v>Number</v>
      </c>
      <c r="BQ28" s="5" t="str">
        <f t="shared" si="10"/>
        <v>Number</v>
      </c>
      <c r="BR28" s="5" t="str">
        <f t="shared" si="11"/>
        <v>Diff</v>
      </c>
      <c r="BS28" s="5">
        <v>1</v>
      </c>
      <c r="BX28" s="5">
        <v>0.6</v>
      </c>
      <c r="CA28" t="str">
        <f>IF(OR(AV28="Diff",BA28="Diff",BM28="Diff",BR28="Diff"),"Diff","")</f>
        <v>Diff</v>
      </c>
    </row>
    <row r="29" spans="1:79" x14ac:dyDescent="0.25">
      <c r="A29" t="s">
        <v>255</v>
      </c>
      <c r="B29" t="s">
        <v>167</v>
      </c>
      <c r="C29" t="s">
        <v>387</v>
      </c>
      <c r="D29" t="s">
        <v>388</v>
      </c>
      <c r="E29" s="2">
        <v>5</v>
      </c>
      <c r="F29" s="2">
        <v>7</v>
      </c>
      <c r="G29" t="s">
        <v>383</v>
      </c>
      <c r="H29" t="s">
        <v>384</v>
      </c>
      <c r="I29" s="2" t="s">
        <v>414</v>
      </c>
      <c r="J29" t="s">
        <v>392</v>
      </c>
      <c r="K29" s="2">
        <v>1500</v>
      </c>
      <c r="L29">
        <v>2200</v>
      </c>
      <c r="M29">
        <v>0</v>
      </c>
      <c r="N29">
        <v>0</v>
      </c>
      <c r="O29">
        <v>0</v>
      </c>
      <c r="P29">
        <v>0</v>
      </c>
      <c r="Q29">
        <v>1</v>
      </c>
      <c r="R29">
        <v>1</v>
      </c>
      <c r="S29">
        <v>0</v>
      </c>
      <c r="T29" s="2">
        <v>0.3</v>
      </c>
      <c r="U29" s="2">
        <v>2</v>
      </c>
      <c r="V29" s="2">
        <v>2</v>
      </c>
      <c r="W29" s="2">
        <v>0</v>
      </c>
      <c r="X29">
        <v>0</v>
      </c>
      <c r="Y29">
        <v>0</v>
      </c>
      <c r="Z29">
        <v>0</v>
      </c>
      <c r="AA29">
        <v>0.1</v>
      </c>
      <c r="AB29" s="2" t="s">
        <v>374</v>
      </c>
      <c r="AC29">
        <v>0</v>
      </c>
      <c r="AD29">
        <v>0</v>
      </c>
      <c r="AE29">
        <v>0</v>
      </c>
      <c r="AF29" s="2">
        <v>90</v>
      </c>
      <c r="AG29">
        <v>0</v>
      </c>
      <c r="AH29">
        <v>0</v>
      </c>
      <c r="AI29">
        <v>0</v>
      </c>
      <c r="AJ29">
        <v>0</v>
      </c>
      <c r="AO29">
        <v>5</v>
      </c>
      <c r="AQ29">
        <v>1</v>
      </c>
      <c r="AR29" s="5">
        <v>1</v>
      </c>
      <c r="AS29" s="5">
        <v>2</v>
      </c>
      <c r="AT29" s="5" t="str">
        <f t="shared" si="0"/>
        <v>Number</v>
      </c>
      <c r="AU29" s="5" t="str">
        <f t="shared" si="1"/>
        <v>Number</v>
      </c>
      <c r="AV29" s="5" t="str">
        <f t="shared" si="2"/>
        <v>Diff</v>
      </c>
      <c r="AW29" s="5">
        <v>2</v>
      </c>
      <c r="AX29" s="5">
        <v>4</v>
      </c>
      <c r="AY29" s="5" t="str">
        <f t="shared" si="3"/>
        <v>Number</v>
      </c>
      <c r="AZ29" s="5" t="str">
        <f t="shared" si="4"/>
        <v>Number</v>
      </c>
      <c r="BA29" s="5" t="str">
        <f t="shared" si="5"/>
        <v>Diff</v>
      </c>
      <c r="BD29" s="5">
        <v>3</v>
      </c>
      <c r="BE29" s="5">
        <v>0.75</v>
      </c>
      <c r="BH29" s="5">
        <v>0</v>
      </c>
      <c r="BI29" s="5">
        <v>0.16</v>
      </c>
      <c r="BJ29" s="5">
        <v>0.16</v>
      </c>
      <c r="BK29" s="5" t="str">
        <f t="shared" si="6"/>
        <v>Number</v>
      </c>
      <c r="BL29" s="5" t="str">
        <f t="shared" si="7"/>
        <v>Number</v>
      </c>
      <c r="BM29" s="5" t="str">
        <f t="shared" si="8"/>
        <v/>
      </c>
      <c r="BN29" s="5">
        <v>0.5</v>
      </c>
      <c r="BO29" s="5">
        <v>0.5</v>
      </c>
      <c r="BP29" s="5" t="str">
        <f t="shared" si="9"/>
        <v>Number</v>
      </c>
      <c r="BQ29" s="5" t="str">
        <f t="shared" si="10"/>
        <v>Number</v>
      </c>
      <c r="BR29" s="5" t="str">
        <f t="shared" si="11"/>
        <v/>
      </c>
      <c r="BS29" s="5">
        <v>1</v>
      </c>
      <c r="BX29" s="5">
        <v>0.6</v>
      </c>
      <c r="CA29" t="str">
        <f>IF(OR(AV29="Diff",BA29="Diff",BM29="Diff",BR29="Diff"),"Diff","")</f>
        <v>Diff</v>
      </c>
    </row>
    <row r="30" spans="1:79" x14ac:dyDescent="0.25">
      <c r="A30" t="s">
        <v>256</v>
      </c>
      <c r="B30" t="s">
        <v>167</v>
      </c>
      <c r="C30" t="s">
        <v>387</v>
      </c>
      <c r="D30" t="s">
        <v>388</v>
      </c>
      <c r="E30">
        <v>10</v>
      </c>
      <c r="F30" s="2">
        <v>14</v>
      </c>
      <c r="G30" t="s">
        <v>383</v>
      </c>
      <c r="H30" t="s">
        <v>384</v>
      </c>
      <c r="I30" t="s">
        <v>407</v>
      </c>
      <c r="J30" t="s">
        <v>392</v>
      </c>
      <c r="K30" s="2">
        <v>1400</v>
      </c>
      <c r="L30" s="2" t="s">
        <v>376</v>
      </c>
      <c r="M30">
        <v>0</v>
      </c>
      <c r="N30">
        <v>0</v>
      </c>
      <c r="O30">
        <v>0</v>
      </c>
      <c r="P30">
        <v>0</v>
      </c>
      <c r="Q30">
        <v>1</v>
      </c>
      <c r="R30">
        <v>1</v>
      </c>
      <c r="S30">
        <v>0</v>
      </c>
      <c r="T30" s="2">
        <v>0.7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0.1</v>
      </c>
      <c r="AB30" s="2" t="s">
        <v>374</v>
      </c>
      <c r="AC30">
        <v>0</v>
      </c>
      <c r="AD30">
        <v>0</v>
      </c>
      <c r="AE30">
        <v>0</v>
      </c>
      <c r="AF30">
        <v>15</v>
      </c>
      <c r="AG30">
        <v>0</v>
      </c>
      <c r="AH30">
        <v>0</v>
      </c>
      <c r="AI30">
        <v>0</v>
      </c>
      <c r="AJ30">
        <v>0</v>
      </c>
      <c r="AO30">
        <v>5</v>
      </c>
      <c r="AQ30">
        <v>1</v>
      </c>
      <c r="AR30" s="5">
        <v>1.06</v>
      </c>
      <c r="AS30" s="5">
        <v>1.06</v>
      </c>
      <c r="AT30" s="5" t="str">
        <f t="shared" si="0"/>
        <v>Number</v>
      </c>
      <c r="AU30" s="5" t="str">
        <f t="shared" si="1"/>
        <v>Number</v>
      </c>
      <c r="AV30" s="5" t="str">
        <f t="shared" si="2"/>
        <v/>
      </c>
      <c r="AW30" s="5">
        <v>1.03</v>
      </c>
      <c r="AX30" s="5">
        <v>1.03</v>
      </c>
      <c r="AY30" s="5" t="str">
        <f t="shared" si="3"/>
        <v>Number</v>
      </c>
      <c r="AZ30" s="5" t="str">
        <f t="shared" si="4"/>
        <v>Number</v>
      </c>
      <c r="BA30" s="5" t="str">
        <f t="shared" si="5"/>
        <v/>
      </c>
      <c r="BB30" s="5">
        <v>0.73</v>
      </c>
      <c r="BH30" s="5">
        <v>1</v>
      </c>
      <c r="BI30" s="5">
        <v>0.09</v>
      </c>
      <c r="BJ30" s="5">
        <v>0.09</v>
      </c>
      <c r="BK30" s="5" t="str">
        <f t="shared" si="6"/>
        <v>Number</v>
      </c>
      <c r="BL30" s="5" t="str">
        <f t="shared" si="7"/>
        <v>Number</v>
      </c>
      <c r="BM30" s="5" t="str">
        <f t="shared" si="8"/>
        <v/>
      </c>
      <c r="BN30" s="5">
        <v>0.4</v>
      </c>
      <c r="BO30" s="5">
        <v>0.5</v>
      </c>
      <c r="BP30" s="5" t="str">
        <f t="shared" si="9"/>
        <v>Number</v>
      </c>
      <c r="BQ30" s="5" t="str">
        <f t="shared" si="10"/>
        <v>Number</v>
      </c>
      <c r="BR30" s="5" t="str">
        <f t="shared" si="11"/>
        <v>Diff</v>
      </c>
      <c r="BS30" s="5">
        <v>0.6</v>
      </c>
      <c r="BT30" s="5">
        <v>0.6</v>
      </c>
      <c r="BU30" s="5">
        <v>0.6</v>
      </c>
      <c r="BX30" s="5">
        <v>0.6</v>
      </c>
      <c r="CA30" t="str">
        <f>IF(OR(AV30="Diff",BA30="Diff",BM30="Diff",BR30="Diff"),"Diff","")</f>
        <v>Diff</v>
      </c>
    </row>
    <row r="31" spans="1:79" x14ac:dyDescent="0.25">
      <c r="A31" t="s">
        <v>257</v>
      </c>
      <c r="B31" t="s">
        <v>167</v>
      </c>
      <c r="C31" t="s">
        <v>387</v>
      </c>
      <c r="D31" t="s">
        <v>388</v>
      </c>
      <c r="E31">
        <v>160</v>
      </c>
      <c r="F31">
        <v>160</v>
      </c>
      <c r="G31" t="s">
        <v>390</v>
      </c>
      <c r="H31" t="s">
        <v>393</v>
      </c>
      <c r="I31" t="s">
        <v>417</v>
      </c>
      <c r="J31" t="s">
        <v>392</v>
      </c>
      <c r="K31">
        <v>0</v>
      </c>
      <c r="L31" s="2" t="s">
        <v>377</v>
      </c>
      <c r="M31">
        <v>0</v>
      </c>
      <c r="N31">
        <v>0.4</v>
      </c>
      <c r="O31">
        <v>0</v>
      </c>
      <c r="P31">
        <v>0</v>
      </c>
      <c r="Q31">
        <v>1</v>
      </c>
      <c r="R31">
        <v>1</v>
      </c>
      <c r="S31">
        <v>1</v>
      </c>
      <c r="T31">
        <v>1</v>
      </c>
      <c r="U31">
        <v>2</v>
      </c>
      <c r="V31">
        <v>4</v>
      </c>
      <c r="W31">
        <v>0</v>
      </c>
      <c r="X31">
        <v>0</v>
      </c>
      <c r="Y31">
        <v>120</v>
      </c>
      <c r="Z31">
        <v>120</v>
      </c>
      <c r="AA31">
        <v>0.1</v>
      </c>
      <c r="AB31" s="2" t="s">
        <v>374</v>
      </c>
      <c r="AC31">
        <v>1</v>
      </c>
      <c r="AD31">
        <v>0</v>
      </c>
      <c r="AE31">
        <v>300</v>
      </c>
      <c r="AF31">
        <v>0</v>
      </c>
      <c r="AG31">
        <v>-180</v>
      </c>
      <c r="AH31">
        <v>180</v>
      </c>
      <c r="AI31">
        <v>-5</v>
      </c>
      <c r="AJ31">
        <v>60</v>
      </c>
      <c r="AO31">
        <v>5</v>
      </c>
      <c r="AQ31">
        <v>1</v>
      </c>
      <c r="AR31" s="5">
        <v>0.184</v>
      </c>
      <c r="AS31" s="5">
        <v>0.36799999999999999</v>
      </c>
      <c r="AT31" s="5" t="str">
        <f t="shared" si="0"/>
        <v>Number</v>
      </c>
      <c r="AU31" s="5" t="str">
        <f t="shared" si="1"/>
        <v>Number</v>
      </c>
      <c r="AV31" s="5" t="str">
        <f t="shared" si="2"/>
        <v>Diff</v>
      </c>
      <c r="AW31" s="5">
        <v>1</v>
      </c>
      <c r="AX31" s="5">
        <v>1.88</v>
      </c>
      <c r="AY31" s="5" t="str">
        <f t="shared" si="3"/>
        <v>Number</v>
      </c>
      <c r="AZ31" s="5" t="str">
        <f t="shared" si="4"/>
        <v>Number</v>
      </c>
      <c r="BA31" s="5" t="str">
        <f t="shared" si="5"/>
        <v>Diff</v>
      </c>
      <c r="BB31" s="5">
        <v>1</v>
      </c>
      <c r="BD31" s="5">
        <v>1.3</v>
      </c>
      <c r="BE31" s="5">
        <v>0.59</v>
      </c>
      <c r="BF31" s="5">
        <v>0.6</v>
      </c>
      <c r="BG31" s="5">
        <v>0.184</v>
      </c>
      <c r="BH31" s="5">
        <v>1</v>
      </c>
      <c r="BI31" s="5">
        <v>0.2</v>
      </c>
      <c r="BJ31" s="5">
        <v>0.2</v>
      </c>
      <c r="BK31" s="5" t="str">
        <f t="shared" si="6"/>
        <v>Number</v>
      </c>
      <c r="BL31" s="5" t="str">
        <f t="shared" si="7"/>
        <v>Number</v>
      </c>
      <c r="BM31" s="5" t="str">
        <f t="shared" si="8"/>
        <v/>
      </c>
      <c r="BN31" s="5">
        <v>0.4</v>
      </c>
      <c r="BO31" s="5">
        <v>0.7</v>
      </c>
      <c r="BP31" s="5" t="str">
        <f t="shared" si="9"/>
        <v>Number</v>
      </c>
      <c r="BQ31" s="5" t="str">
        <f t="shared" si="10"/>
        <v>Number</v>
      </c>
      <c r="BR31" s="5" t="str">
        <f t="shared" si="11"/>
        <v>Diff</v>
      </c>
      <c r="BS31" s="5">
        <v>0.6</v>
      </c>
      <c r="BT31" s="5">
        <v>0.6</v>
      </c>
      <c r="BU31" s="5">
        <v>0.6</v>
      </c>
      <c r="BX31" s="5">
        <v>0.6</v>
      </c>
      <c r="CA31" t="str">
        <f>IF(OR(AV31="Diff",BA31="Diff",BM31="Diff",BR31="Diff"),"Diff","")</f>
        <v>Diff</v>
      </c>
    </row>
    <row r="32" spans="1:79" x14ac:dyDescent="0.25">
      <c r="A32" t="s">
        <v>258</v>
      </c>
      <c r="B32" t="s">
        <v>167</v>
      </c>
      <c r="C32" t="s">
        <v>387</v>
      </c>
      <c r="D32" t="s">
        <v>388</v>
      </c>
      <c r="E32">
        <v>50</v>
      </c>
      <c r="F32">
        <v>50</v>
      </c>
      <c r="G32" t="s">
        <v>390</v>
      </c>
      <c r="H32" t="s">
        <v>393</v>
      </c>
      <c r="I32" t="s">
        <v>417</v>
      </c>
      <c r="J32" t="s">
        <v>392</v>
      </c>
      <c r="K32">
        <v>0</v>
      </c>
      <c r="L32">
        <v>1000</v>
      </c>
      <c r="M32">
        <v>0</v>
      </c>
      <c r="N32">
        <v>0.4</v>
      </c>
      <c r="O32">
        <v>0</v>
      </c>
      <c r="P32">
        <v>0</v>
      </c>
      <c r="Q32">
        <v>1</v>
      </c>
      <c r="R32">
        <v>1</v>
      </c>
      <c r="S32">
        <v>1</v>
      </c>
      <c r="T32">
        <v>0.7</v>
      </c>
      <c r="U32">
        <v>1.5</v>
      </c>
      <c r="V32">
        <v>1</v>
      </c>
      <c r="W32">
        <v>1</v>
      </c>
      <c r="X32">
        <v>1</v>
      </c>
      <c r="Y32">
        <v>120</v>
      </c>
      <c r="Z32">
        <v>120</v>
      </c>
      <c r="AA32">
        <v>0.1</v>
      </c>
      <c r="AB32" s="2" t="s">
        <v>374</v>
      </c>
      <c r="AC32">
        <v>1</v>
      </c>
      <c r="AD32">
        <v>0</v>
      </c>
      <c r="AE32">
        <v>300</v>
      </c>
      <c r="AF32">
        <v>0</v>
      </c>
      <c r="AG32">
        <v>-75</v>
      </c>
      <c r="AH32">
        <v>75</v>
      </c>
      <c r="AI32">
        <v>-90</v>
      </c>
      <c r="AJ32">
        <v>90</v>
      </c>
      <c r="AO32">
        <v>5</v>
      </c>
      <c r="AQ32">
        <v>1</v>
      </c>
      <c r="AR32" s="5">
        <v>0.25</v>
      </c>
      <c r="AT32" s="5" t="str">
        <f t="shared" si="0"/>
        <v>Number</v>
      </c>
      <c r="AU32" s="5" t="str">
        <f t="shared" si="1"/>
        <v>Blank</v>
      </c>
      <c r="AV32" s="5" t="str">
        <f t="shared" si="2"/>
        <v>Diff</v>
      </c>
      <c r="AY32" s="5" t="str">
        <f t="shared" si="3"/>
        <v>Blank</v>
      </c>
      <c r="AZ32" s="5" t="str">
        <f t="shared" si="4"/>
        <v>Blank</v>
      </c>
      <c r="BA32" s="5" t="str">
        <f t="shared" si="5"/>
        <v/>
      </c>
      <c r="BG32" s="5">
        <v>0.25</v>
      </c>
      <c r="BH32" s="5">
        <v>1</v>
      </c>
      <c r="BI32" s="5">
        <v>0.05</v>
      </c>
      <c r="BJ32" s="5">
        <v>0.05</v>
      </c>
      <c r="BK32" s="5" t="str">
        <f t="shared" si="6"/>
        <v>Number</v>
      </c>
      <c r="BL32" s="5" t="str">
        <f t="shared" si="7"/>
        <v>Number</v>
      </c>
      <c r="BM32" s="5" t="str">
        <f t="shared" si="8"/>
        <v/>
      </c>
      <c r="BN32" s="5">
        <v>0.5</v>
      </c>
      <c r="BO32" s="5">
        <v>0.5</v>
      </c>
      <c r="BP32" s="5" t="str">
        <f t="shared" si="9"/>
        <v>Number</v>
      </c>
      <c r="BQ32" s="5" t="str">
        <f t="shared" si="10"/>
        <v>Number</v>
      </c>
      <c r="BR32" s="5" t="str">
        <f t="shared" si="11"/>
        <v/>
      </c>
      <c r="CA32" t="str">
        <f>IF(OR(AV32="Diff",BA32="Diff",BM32="Diff",BR32="Diff"),"Diff","")</f>
        <v>Diff</v>
      </c>
    </row>
    <row r="33" spans="1:79" x14ac:dyDescent="0.25">
      <c r="A33" t="s">
        <v>259</v>
      </c>
      <c r="B33" t="s">
        <v>167</v>
      </c>
      <c r="C33" t="s">
        <v>387</v>
      </c>
      <c r="D33" t="s">
        <v>388</v>
      </c>
      <c r="E33">
        <v>10</v>
      </c>
      <c r="F33">
        <v>10</v>
      </c>
      <c r="G33" t="s">
        <v>383</v>
      </c>
      <c r="H33" t="s">
        <v>384</v>
      </c>
      <c r="I33" t="s">
        <v>407</v>
      </c>
      <c r="J33" t="s">
        <v>392</v>
      </c>
      <c r="K33">
        <v>900</v>
      </c>
      <c r="L33">
        <v>400</v>
      </c>
      <c r="M33">
        <v>0</v>
      </c>
      <c r="N33">
        <v>0</v>
      </c>
      <c r="O33">
        <v>0</v>
      </c>
      <c r="P33">
        <v>0</v>
      </c>
      <c r="Q33">
        <v>1</v>
      </c>
      <c r="R33">
        <v>1</v>
      </c>
      <c r="S33">
        <v>0</v>
      </c>
      <c r="T33">
        <v>0.6</v>
      </c>
      <c r="U33">
        <v>1.3</v>
      </c>
      <c r="V33">
        <v>1.8</v>
      </c>
      <c r="W33">
        <v>0</v>
      </c>
      <c r="X33">
        <v>0</v>
      </c>
      <c r="Y33">
        <v>0</v>
      </c>
      <c r="Z33">
        <v>0</v>
      </c>
      <c r="AA33">
        <v>0.1</v>
      </c>
      <c r="AB33" s="2" t="s">
        <v>374</v>
      </c>
      <c r="AC33">
        <v>0</v>
      </c>
      <c r="AD33">
        <v>0</v>
      </c>
      <c r="AE33">
        <v>0</v>
      </c>
      <c r="AO33">
        <v>5</v>
      </c>
      <c r="AQ33">
        <v>1</v>
      </c>
      <c r="AT33" s="5" t="str">
        <f t="shared" si="0"/>
        <v>Blank</v>
      </c>
      <c r="AU33" s="5" t="str">
        <f t="shared" si="1"/>
        <v>Blank</v>
      </c>
      <c r="AV33" s="5" t="str">
        <f t="shared" si="2"/>
        <v/>
      </c>
      <c r="AY33" s="5" t="str">
        <f t="shared" si="3"/>
        <v>Blank</v>
      </c>
      <c r="AZ33" s="5" t="str">
        <f t="shared" si="4"/>
        <v>Blank</v>
      </c>
      <c r="BA33" s="5" t="str">
        <f t="shared" si="5"/>
        <v/>
      </c>
      <c r="BH33" s="5">
        <v>1</v>
      </c>
      <c r="BI33" s="5">
        <v>0.04</v>
      </c>
      <c r="BK33" s="5" t="str">
        <f t="shared" si="6"/>
        <v>Number</v>
      </c>
      <c r="BL33" s="5" t="str">
        <f t="shared" si="7"/>
        <v>Blank</v>
      </c>
      <c r="BM33" s="5" t="str">
        <f t="shared" si="8"/>
        <v>Diff</v>
      </c>
      <c r="BN33" s="5">
        <v>0.15</v>
      </c>
      <c r="BP33" s="5" t="str">
        <f t="shared" si="9"/>
        <v>Number</v>
      </c>
      <c r="BQ33" s="5" t="str">
        <f t="shared" si="10"/>
        <v>Blank</v>
      </c>
      <c r="BR33" s="5" t="str">
        <f t="shared" si="11"/>
        <v>Diff</v>
      </c>
      <c r="CA33" t="str">
        <f>IF(OR(AV33="Diff",BA33="Diff",BM33="Diff",BR33="Diff"),"Diff","")</f>
        <v>Diff</v>
      </c>
    </row>
    <row r="34" spans="1:79" hidden="1" x14ac:dyDescent="0.25">
      <c r="A34" t="s">
        <v>260</v>
      </c>
      <c r="B34" t="s">
        <v>167</v>
      </c>
      <c r="C34" t="s">
        <v>387</v>
      </c>
      <c r="D34" t="s">
        <v>409</v>
      </c>
      <c r="E34">
        <v>0</v>
      </c>
      <c r="F34">
        <v>0</v>
      </c>
      <c r="G34" t="s">
        <v>396</v>
      </c>
      <c r="H34" t="s">
        <v>384</v>
      </c>
      <c r="I34" t="s">
        <v>385</v>
      </c>
      <c r="J34" t="s">
        <v>386</v>
      </c>
      <c r="K34">
        <v>900</v>
      </c>
      <c r="L34">
        <v>3000</v>
      </c>
      <c r="M34">
        <v>0</v>
      </c>
      <c r="N34">
        <v>0</v>
      </c>
      <c r="O34">
        <v>0</v>
      </c>
      <c r="P34">
        <v>0</v>
      </c>
      <c r="Q34">
        <v>1</v>
      </c>
      <c r="R34">
        <v>0</v>
      </c>
      <c r="S34">
        <v>0</v>
      </c>
      <c r="T34">
        <v>70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0.1</v>
      </c>
      <c r="AB34" s="2" t="s">
        <v>374</v>
      </c>
      <c r="AC34">
        <v>1</v>
      </c>
      <c r="AD34">
        <v>0</v>
      </c>
      <c r="AE34">
        <v>0</v>
      </c>
      <c r="AF34">
        <v>15</v>
      </c>
      <c r="AG34">
        <v>0</v>
      </c>
      <c r="AH34">
        <v>0</v>
      </c>
      <c r="AI34">
        <v>0</v>
      </c>
      <c r="AJ34">
        <v>0</v>
      </c>
      <c r="AK34" t="s">
        <v>410</v>
      </c>
      <c r="AL34" t="s">
        <v>409</v>
      </c>
      <c r="AM34">
        <v>0</v>
      </c>
      <c r="AN34">
        <v>0</v>
      </c>
      <c r="AO34">
        <v>5</v>
      </c>
      <c r="AP34"/>
      <c r="AQ34">
        <v>1</v>
      </c>
      <c r="AT34" s="5" t="str">
        <f t="shared" si="0"/>
        <v>Blank</v>
      </c>
      <c r="AU34" s="5" t="str">
        <f t="shared" si="1"/>
        <v>Blank</v>
      </c>
      <c r="AV34" s="5" t="str">
        <f t="shared" si="2"/>
        <v/>
      </c>
      <c r="AY34" s="5" t="str">
        <f t="shared" si="3"/>
        <v>Blank</v>
      </c>
      <c r="AZ34" s="5" t="str">
        <f t="shared" si="4"/>
        <v>Blank</v>
      </c>
      <c r="BA34" s="5" t="str">
        <f t="shared" si="5"/>
        <v/>
      </c>
      <c r="BH34" s="5">
        <v>1</v>
      </c>
      <c r="BI34" s="5">
        <v>0.05</v>
      </c>
      <c r="BJ34" s="5">
        <v>0.05</v>
      </c>
      <c r="BK34" s="5" t="str">
        <f t="shared" si="6"/>
        <v>Number</v>
      </c>
      <c r="BL34" s="5" t="str">
        <f t="shared" si="7"/>
        <v>Number</v>
      </c>
      <c r="BM34" s="5" t="str">
        <f t="shared" si="8"/>
        <v/>
      </c>
      <c r="BN34" s="5">
        <v>0.15</v>
      </c>
      <c r="BO34" s="5">
        <v>0.15</v>
      </c>
      <c r="BP34" s="5" t="str">
        <f t="shared" si="9"/>
        <v>Number</v>
      </c>
      <c r="BQ34" s="5" t="str">
        <f t="shared" si="10"/>
        <v>Number</v>
      </c>
      <c r="BR34" s="5" t="str">
        <f t="shared" si="11"/>
        <v/>
      </c>
      <c r="CA34" t="str">
        <f>IF(OR(AV34="Diff",BA34="Diff",BM34="Diff",BR34="Diff"),"Diff","")</f>
        <v/>
      </c>
    </row>
    <row r="35" spans="1:79" hidden="1" x14ac:dyDescent="0.25">
      <c r="A35" t="s">
        <v>261</v>
      </c>
      <c r="B35" t="s">
        <v>167</v>
      </c>
      <c r="C35" t="s">
        <v>387</v>
      </c>
      <c r="D35" t="s">
        <v>419</v>
      </c>
      <c r="E35">
        <v>35</v>
      </c>
      <c r="F35">
        <v>35</v>
      </c>
      <c r="G35" t="s">
        <v>396</v>
      </c>
      <c r="H35" t="s">
        <v>400</v>
      </c>
      <c r="I35" t="s">
        <v>418</v>
      </c>
      <c r="J35" t="s">
        <v>392</v>
      </c>
      <c r="K35">
        <v>0</v>
      </c>
      <c r="L35">
        <v>0</v>
      </c>
      <c r="M35">
        <v>500</v>
      </c>
      <c r="N35">
        <v>2</v>
      </c>
      <c r="O35">
        <v>0</v>
      </c>
      <c r="P35">
        <v>0</v>
      </c>
      <c r="Q35">
        <v>10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0.1</v>
      </c>
      <c r="AB35" s="2" t="s">
        <v>374</v>
      </c>
      <c r="AC35">
        <v>1</v>
      </c>
      <c r="AD35">
        <v>0</v>
      </c>
      <c r="AE35">
        <v>0</v>
      </c>
      <c r="AO35">
        <v>5</v>
      </c>
      <c r="AP35"/>
      <c r="AQ35">
        <v>1</v>
      </c>
      <c r="AT35" s="5" t="str">
        <f t="shared" si="0"/>
        <v>Blank</v>
      </c>
      <c r="AU35" s="5" t="str">
        <f t="shared" si="1"/>
        <v>Blank</v>
      </c>
      <c r="AV35" s="5" t="str">
        <f t="shared" si="2"/>
        <v/>
      </c>
      <c r="AY35" s="5" t="str">
        <f t="shared" si="3"/>
        <v>Blank</v>
      </c>
      <c r="AZ35" s="5" t="str">
        <f t="shared" si="4"/>
        <v>Blank</v>
      </c>
      <c r="BA35" s="5" t="str">
        <f t="shared" si="5"/>
        <v/>
      </c>
      <c r="BK35" s="5" t="str">
        <f t="shared" si="6"/>
        <v>Blank</v>
      </c>
      <c r="BL35" s="5" t="str">
        <f t="shared" si="7"/>
        <v>Blank</v>
      </c>
      <c r="BM35" s="5" t="str">
        <f t="shared" si="8"/>
        <v/>
      </c>
      <c r="BP35" s="5" t="str">
        <f t="shared" si="9"/>
        <v>Blank</v>
      </c>
      <c r="BQ35" s="5" t="str">
        <f t="shared" si="10"/>
        <v>Blank</v>
      </c>
      <c r="BR35" s="5" t="str">
        <f t="shared" si="11"/>
        <v/>
      </c>
      <c r="CA35" t="str">
        <f>IF(OR(AV35="Diff",BA35="Diff",BM35="Diff",BR35="Diff"),"Diff","")</f>
        <v/>
      </c>
    </row>
    <row r="36" spans="1:79" x14ac:dyDescent="0.25">
      <c r="A36" t="s">
        <v>262</v>
      </c>
      <c r="B36" t="s">
        <v>167</v>
      </c>
      <c r="C36" t="s">
        <v>387</v>
      </c>
      <c r="D36" t="s">
        <v>388</v>
      </c>
      <c r="E36">
        <v>5</v>
      </c>
      <c r="F36">
        <v>5</v>
      </c>
      <c r="G36" t="s">
        <v>383</v>
      </c>
      <c r="H36" t="s">
        <v>384</v>
      </c>
      <c r="I36" t="s">
        <v>416</v>
      </c>
      <c r="J36" t="s">
        <v>392</v>
      </c>
      <c r="K36">
        <v>2500</v>
      </c>
      <c r="L36">
        <v>2200</v>
      </c>
      <c r="M36">
        <v>0</v>
      </c>
      <c r="N36">
        <v>0</v>
      </c>
      <c r="O36">
        <v>0</v>
      </c>
      <c r="P36">
        <v>0</v>
      </c>
      <c r="Q36">
        <v>1</v>
      </c>
      <c r="R36">
        <v>1</v>
      </c>
      <c r="S36">
        <v>0</v>
      </c>
      <c r="T36">
        <v>0.25</v>
      </c>
      <c r="U36">
        <v>0</v>
      </c>
      <c r="V36">
        <v>0</v>
      </c>
      <c r="W36">
        <v>1</v>
      </c>
      <c r="X36">
        <v>0</v>
      </c>
      <c r="Y36">
        <v>0</v>
      </c>
      <c r="Z36">
        <v>0</v>
      </c>
      <c r="AA36">
        <v>0.1</v>
      </c>
      <c r="AB36" s="2" t="s">
        <v>374</v>
      </c>
      <c r="AC36">
        <v>0</v>
      </c>
      <c r="AD36">
        <v>0</v>
      </c>
      <c r="AE36">
        <v>0</v>
      </c>
      <c r="AF36">
        <v>90</v>
      </c>
      <c r="AG36">
        <v>0</v>
      </c>
      <c r="AH36">
        <v>0</v>
      </c>
      <c r="AI36">
        <v>0</v>
      </c>
      <c r="AJ36">
        <v>0</v>
      </c>
      <c r="AO36">
        <v>5</v>
      </c>
      <c r="AQ36">
        <v>1</v>
      </c>
      <c r="AT36" s="5" t="str">
        <f t="shared" si="0"/>
        <v>Blank</v>
      </c>
      <c r="AU36" s="5" t="str">
        <f t="shared" si="1"/>
        <v>Blank</v>
      </c>
      <c r="AV36" s="5" t="str">
        <f t="shared" si="2"/>
        <v/>
      </c>
      <c r="AY36" s="5" t="str">
        <f t="shared" si="3"/>
        <v>Blank</v>
      </c>
      <c r="AZ36" s="5" t="str">
        <f t="shared" si="4"/>
        <v>Blank</v>
      </c>
      <c r="BA36" s="5" t="str">
        <f t="shared" si="5"/>
        <v/>
      </c>
      <c r="BH36" s="5">
        <v>1</v>
      </c>
      <c r="BI36" s="5">
        <v>0.03</v>
      </c>
      <c r="BK36" s="5" t="str">
        <f t="shared" si="6"/>
        <v>Number</v>
      </c>
      <c r="BL36" s="5" t="str">
        <f t="shared" si="7"/>
        <v>Blank</v>
      </c>
      <c r="BM36" s="5" t="str">
        <f t="shared" si="8"/>
        <v>Diff</v>
      </c>
      <c r="BN36" s="5">
        <v>0.4</v>
      </c>
      <c r="BP36" s="5" t="str">
        <f t="shared" si="9"/>
        <v>Number</v>
      </c>
      <c r="BQ36" s="5" t="str">
        <f t="shared" si="10"/>
        <v>Blank</v>
      </c>
      <c r="BR36" s="5" t="str">
        <f t="shared" si="11"/>
        <v>Diff</v>
      </c>
      <c r="CA36" t="str">
        <f>IF(OR(AV36="Diff",BA36="Diff",BM36="Diff",BR36="Diff"),"Diff","")</f>
        <v>Diff</v>
      </c>
    </row>
    <row r="37" spans="1:79" hidden="1" x14ac:dyDescent="0.25">
      <c r="A37" t="s">
        <v>263</v>
      </c>
      <c r="B37" t="s">
        <v>167</v>
      </c>
      <c r="C37" t="s">
        <v>387</v>
      </c>
      <c r="D37" t="s">
        <v>388</v>
      </c>
      <c r="E37">
        <v>380</v>
      </c>
      <c r="F37">
        <v>380</v>
      </c>
      <c r="G37" t="s">
        <v>396</v>
      </c>
      <c r="H37" t="s">
        <v>397</v>
      </c>
      <c r="I37" t="s">
        <v>402</v>
      </c>
      <c r="J37" t="s">
        <v>399</v>
      </c>
      <c r="K37">
        <v>120</v>
      </c>
      <c r="L37">
        <v>4500</v>
      </c>
      <c r="M37">
        <v>0</v>
      </c>
      <c r="N37">
        <v>0</v>
      </c>
      <c r="O37">
        <v>0</v>
      </c>
      <c r="P37">
        <v>0</v>
      </c>
      <c r="Q37">
        <v>1</v>
      </c>
      <c r="R37">
        <v>0</v>
      </c>
      <c r="S37">
        <v>1</v>
      </c>
      <c r="T37">
        <v>15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0.1</v>
      </c>
      <c r="AB37" s="2" t="s">
        <v>374</v>
      </c>
      <c r="AC37">
        <v>0</v>
      </c>
      <c r="AD37">
        <v>0</v>
      </c>
      <c r="AE37">
        <v>0</v>
      </c>
      <c r="AF37">
        <v>179</v>
      </c>
      <c r="AG37">
        <v>0</v>
      </c>
      <c r="AH37">
        <v>0</v>
      </c>
      <c r="AI37">
        <v>0</v>
      </c>
      <c r="AJ37">
        <v>0</v>
      </c>
      <c r="AO37">
        <v>5</v>
      </c>
      <c r="AP37"/>
      <c r="AQ37">
        <v>0.5</v>
      </c>
      <c r="AT37" s="5" t="str">
        <f t="shared" si="0"/>
        <v>Blank</v>
      </c>
      <c r="AU37" s="5" t="str">
        <f t="shared" si="1"/>
        <v>Blank</v>
      </c>
      <c r="AV37" s="5" t="str">
        <f t="shared" si="2"/>
        <v/>
      </c>
      <c r="AW37" s="5">
        <v>0.8</v>
      </c>
      <c r="AX37" s="5">
        <v>0.8</v>
      </c>
      <c r="AY37" s="5" t="str">
        <f t="shared" si="3"/>
        <v>Number</v>
      </c>
      <c r="AZ37" s="5" t="str">
        <f t="shared" si="4"/>
        <v>Number</v>
      </c>
      <c r="BA37" s="5" t="str">
        <f t="shared" si="5"/>
        <v/>
      </c>
      <c r="BE37" s="5">
        <v>0.6</v>
      </c>
      <c r="BH37" s="5">
        <v>1</v>
      </c>
      <c r="BK37" s="5" t="str">
        <f t="shared" si="6"/>
        <v>Blank</v>
      </c>
      <c r="BL37" s="5" t="str">
        <f t="shared" si="7"/>
        <v>Blank</v>
      </c>
      <c r="BM37" s="5" t="str">
        <f t="shared" si="8"/>
        <v/>
      </c>
      <c r="BP37" s="5" t="str">
        <f t="shared" si="9"/>
        <v>Blank</v>
      </c>
      <c r="BQ37" s="5" t="str">
        <f t="shared" si="10"/>
        <v>Blank</v>
      </c>
      <c r="BR37" s="5" t="str">
        <f t="shared" si="11"/>
        <v/>
      </c>
      <c r="CA37" t="str">
        <f>IF(OR(AV37="Diff",BA37="Diff",BM37="Diff",BR37="Diff"),"Diff","")</f>
        <v/>
      </c>
    </row>
    <row r="38" spans="1:79" hidden="1" x14ac:dyDescent="0.25">
      <c r="A38" t="s">
        <v>264</v>
      </c>
      <c r="B38" t="s">
        <v>167</v>
      </c>
      <c r="C38" t="s">
        <v>387</v>
      </c>
      <c r="D38" t="s">
        <v>388</v>
      </c>
      <c r="E38">
        <v>1000</v>
      </c>
      <c r="F38">
        <v>1000</v>
      </c>
      <c r="G38" t="s">
        <v>390</v>
      </c>
      <c r="H38" t="s">
        <v>397</v>
      </c>
      <c r="I38" t="s">
        <v>420</v>
      </c>
      <c r="J38" t="s">
        <v>392</v>
      </c>
      <c r="K38">
        <v>40</v>
      </c>
      <c r="L38">
        <v>2000</v>
      </c>
      <c r="M38">
        <v>0</v>
      </c>
      <c r="N38">
        <v>0</v>
      </c>
      <c r="O38">
        <v>0</v>
      </c>
      <c r="P38">
        <v>0</v>
      </c>
      <c r="Q38">
        <v>1</v>
      </c>
      <c r="R38">
        <v>1</v>
      </c>
      <c r="S38">
        <v>0</v>
      </c>
      <c r="T38">
        <v>10</v>
      </c>
      <c r="U38">
        <v>0</v>
      </c>
      <c r="V38">
        <v>0</v>
      </c>
      <c r="W38">
        <v>1</v>
      </c>
      <c r="X38">
        <v>0</v>
      </c>
      <c r="Y38">
        <v>0</v>
      </c>
      <c r="Z38">
        <v>0</v>
      </c>
      <c r="AA38">
        <v>0.1</v>
      </c>
      <c r="AB38" s="2" t="s">
        <v>374</v>
      </c>
      <c r="AC38">
        <v>0</v>
      </c>
      <c r="AD38">
        <v>0</v>
      </c>
      <c r="AE38">
        <v>0</v>
      </c>
      <c r="AF38">
        <v>0</v>
      </c>
      <c r="AG38">
        <v>-180</v>
      </c>
      <c r="AH38">
        <v>180</v>
      </c>
      <c r="AI38">
        <v>-10</v>
      </c>
      <c r="AJ38">
        <v>60</v>
      </c>
      <c r="AO38">
        <v>5</v>
      </c>
      <c r="AP38"/>
      <c r="AQ38">
        <v>1</v>
      </c>
      <c r="AT38" s="5" t="str">
        <f t="shared" si="0"/>
        <v>Blank</v>
      </c>
      <c r="AU38" s="5" t="str">
        <f t="shared" si="1"/>
        <v>Blank</v>
      </c>
      <c r="AV38" s="5" t="str">
        <f t="shared" si="2"/>
        <v/>
      </c>
      <c r="AY38" s="5" t="str">
        <f t="shared" si="3"/>
        <v>Blank</v>
      </c>
      <c r="AZ38" s="5" t="str">
        <f t="shared" si="4"/>
        <v>Blank</v>
      </c>
      <c r="BA38" s="5" t="str">
        <f t="shared" si="5"/>
        <v/>
      </c>
      <c r="BH38" s="5">
        <v>1</v>
      </c>
      <c r="BK38" s="5" t="str">
        <f t="shared" si="6"/>
        <v>Blank</v>
      </c>
      <c r="BL38" s="5" t="str">
        <f t="shared" si="7"/>
        <v>Blank</v>
      </c>
      <c r="BM38" s="5" t="str">
        <f t="shared" si="8"/>
        <v/>
      </c>
      <c r="BP38" s="5" t="str">
        <f t="shared" si="9"/>
        <v>Blank</v>
      </c>
      <c r="BQ38" s="5" t="str">
        <f t="shared" si="10"/>
        <v>Blank</v>
      </c>
      <c r="BR38" s="5" t="str">
        <f t="shared" si="11"/>
        <v/>
      </c>
      <c r="CA38" t="str">
        <f>IF(OR(AV38="Diff",BA38="Diff",BM38="Diff",BR38="Diff"),"Diff","")</f>
        <v/>
      </c>
    </row>
    <row r="39" spans="1:79" x14ac:dyDescent="0.25">
      <c r="A39" t="s">
        <v>265</v>
      </c>
      <c r="B39" t="s">
        <v>167</v>
      </c>
      <c r="C39" t="s">
        <v>387</v>
      </c>
      <c r="D39" t="s">
        <v>388</v>
      </c>
      <c r="E39">
        <v>2</v>
      </c>
      <c r="F39">
        <v>2</v>
      </c>
      <c r="G39" t="s">
        <v>383</v>
      </c>
      <c r="H39" t="s">
        <v>384</v>
      </c>
      <c r="I39" t="s">
        <v>416</v>
      </c>
      <c r="J39" t="s">
        <v>392</v>
      </c>
      <c r="K39">
        <v>2500</v>
      </c>
      <c r="L39">
        <v>2200</v>
      </c>
      <c r="M39">
        <v>0</v>
      </c>
      <c r="N39">
        <v>0</v>
      </c>
      <c r="O39">
        <v>0</v>
      </c>
      <c r="P39">
        <v>0</v>
      </c>
      <c r="Q39">
        <v>1</v>
      </c>
      <c r="R39">
        <v>1</v>
      </c>
      <c r="S39">
        <v>0</v>
      </c>
      <c r="T39">
        <v>1.8</v>
      </c>
      <c r="U39">
        <v>0</v>
      </c>
      <c r="V39">
        <v>0</v>
      </c>
      <c r="W39">
        <v>1</v>
      </c>
      <c r="X39">
        <v>0</v>
      </c>
      <c r="Y39">
        <v>0</v>
      </c>
      <c r="Z39">
        <v>0</v>
      </c>
      <c r="AA39">
        <v>0.1</v>
      </c>
      <c r="AB39" s="2" t="s">
        <v>374</v>
      </c>
      <c r="AC39">
        <v>0</v>
      </c>
      <c r="AD39">
        <v>0</v>
      </c>
      <c r="AE39">
        <v>0</v>
      </c>
      <c r="AF39">
        <v>110</v>
      </c>
      <c r="AG39">
        <v>0</v>
      </c>
      <c r="AH39">
        <v>0</v>
      </c>
      <c r="AI39">
        <v>0</v>
      </c>
      <c r="AJ39">
        <v>0</v>
      </c>
      <c r="AO39">
        <v>5</v>
      </c>
      <c r="AQ39">
        <v>1</v>
      </c>
      <c r="AT39" s="5" t="str">
        <f t="shared" si="0"/>
        <v>Blank</v>
      </c>
      <c r="AU39" s="5" t="str">
        <f t="shared" si="1"/>
        <v>Blank</v>
      </c>
      <c r="AV39" s="5" t="str">
        <f t="shared" si="2"/>
        <v/>
      </c>
      <c r="AY39" s="5" t="str">
        <f t="shared" si="3"/>
        <v>Blank</v>
      </c>
      <c r="AZ39" s="5" t="str">
        <f t="shared" si="4"/>
        <v>Blank</v>
      </c>
      <c r="BA39" s="5" t="str">
        <f t="shared" si="5"/>
        <v/>
      </c>
      <c r="BH39" s="5">
        <v>1</v>
      </c>
      <c r="BI39" s="5">
        <v>0.03</v>
      </c>
      <c r="BK39" s="5" t="str">
        <f t="shared" si="6"/>
        <v>Number</v>
      </c>
      <c r="BL39" s="5" t="str">
        <f t="shared" si="7"/>
        <v>Blank</v>
      </c>
      <c r="BM39" s="5" t="str">
        <f t="shared" si="8"/>
        <v>Diff</v>
      </c>
      <c r="BN39" s="5">
        <v>0.4</v>
      </c>
      <c r="BP39" s="5" t="str">
        <f t="shared" si="9"/>
        <v>Number</v>
      </c>
      <c r="BQ39" s="5" t="str">
        <f t="shared" si="10"/>
        <v>Blank</v>
      </c>
      <c r="BR39" s="5" t="str">
        <f t="shared" si="11"/>
        <v>Diff</v>
      </c>
      <c r="CA39" t="str">
        <f>IF(OR(AV39="Diff",BA39="Diff",BM39="Diff",BR39="Diff"),"Diff","")</f>
        <v>Diff</v>
      </c>
    </row>
    <row r="40" spans="1:79" x14ac:dyDescent="0.25">
      <c r="A40" t="s">
        <v>266</v>
      </c>
      <c r="B40" t="s">
        <v>167</v>
      </c>
      <c r="C40" t="s">
        <v>387</v>
      </c>
      <c r="D40" t="s">
        <v>388</v>
      </c>
      <c r="E40">
        <v>42</v>
      </c>
      <c r="F40">
        <v>42</v>
      </c>
      <c r="G40" t="s">
        <v>390</v>
      </c>
      <c r="H40" t="s">
        <v>384</v>
      </c>
      <c r="I40" t="s">
        <v>414</v>
      </c>
      <c r="J40" t="s">
        <v>392</v>
      </c>
      <c r="K40" s="2">
        <v>1550</v>
      </c>
      <c r="L40" s="2">
        <v>1375</v>
      </c>
      <c r="M40">
        <v>0</v>
      </c>
      <c r="N40">
        <v>0</v>
      </c>
      <c r="O40">
        <v>0</v>
      </c>
      <c r="P40">
        <v>0</v>
      </c>
      <c r="Q40">
        <v>1</v>
      </c>
      <c r="R40">
        <v>1</v>
      </c>
      <c r="S40">
        <v>1</v>
      </c>
      <c r="T40">
        <v>3</v>
      </c>
      <c r="U40">
        <v>0</v>
      </c>
      <c r="V40">
        <v>0</v>
      </c>
      <c r="W40">
        <v>1</v>
      </c>
      <c r="X40" s="2">
        <v>1</v>
      </c>
      <c r="Y40" s="2">
        <v>75</v>
      </c>
      <c r="Z40" s="2">
        <v>75</v>
      </c>
      <c r="AA40">
        <v>0.1</v>
      </c>
      <c r="AB40" s="2" t="s">
        <v>374</v>
      </c>
      <c r="AC40">
        <v>1</v>
      </c>
      <c r="AD40">
        <v>0</v>
      </c>
      <c r="AE40">
        <v>0</v>
      </c>
      <c r="AF40" s="2">
        <v>6</v>
      </c>
      <c r="AG40">
        <v>-180</v>
      </c>
      <c r="AH40">
        <v>180</v>
      </c>
      <c r="AI40" s="2">
        <v>-12</v>
      </c>
      <c r="AJ40" s="2">
        <v>65</v>
      </c>
      <c r="AO40">
        <v>5</v>
      </c>
      <c r="AQ40">
        <v>1</v>
      </c>
      <c r="AS40" s="5">
        <v>2</v>
      </c>
      <c r="AT40" s="5" t="str">
        <f t="shared" si="0"/>
        <v>Blank</v>
      </c>
      <c r="AU40" s="5" t="str">
        <f t="shared" si="1"/>
        <v>Number</v>
      </c>
      <c r="AV40" s="5" t="str">
        <f t="shared" si="2"/>
        <v>Diff</v>
      </c>
      <c r="AY40" s="5" t="str">
        <f t="shared" si="3"/>
        <v>Blank</v>
      </c>
      <c r="AZ40" s="5" t="str">
        <f t="shared" si="4"/>
        <v>Blank</v>
      </c>
      <c r="BA40" s="5" t="str">
        <f t="shared" si="5"/>
        <v/>
      </c>
      <c r="BB40" s="5">
        <v>1</v>
      </c>
      <c r="BE40" s="5">
        <v>0.8</v>
      </c>
      <c r="BH40" s="5">
        <v>1</v>
      </c>
      <c r="BI40" s="5">
        <v>0.12</v>
      </c>
      <c r="BJ40" s="5">
        <v>0.24</v>
      </c>
      <c r="BK40" s="5" t="str">
        <f t="shared" si="6"/>
        <v>Number</v>
      </c>
      <c r="BL40" s="5" t="str">
        <f t="shared" si="7"/>
        <v>Number</v>
      </c>
      <c r="BM40" s="5" t="str">
        <f t="shared" si="8"/>
        <v>Diff</v>
      </c>
      <c r="BN40" s="5">
        <v>0.13600000000000001</v>
      </c>
      <c r="BO40" s="5">
        <v>0.27200000000000002</v>
      </c>
      <c r="BP40" s="5" t="str">
        <f t="shared" si="9"/>
        <v>Number</v>
      </c>
      <c r="BQ40" s="5" t="str">
        <f t="shared" si="10"/>
        <v>Number</v>
      </c>
      <c r="BR40" s="5" t="str">
        <f t="shared" si="11"/>
        <v>Diff</v>
      </c>
      <c r="BS40" s="5">
        <v>0.8</v>
      </c>
      <c r="BT40" s="5">
        <v>0.6</v>
      </c>
      <c r="BU40" s="5">
        <v>0.6</v>
      </c>
      <c r="BX40" s="5">
        <v>0.6</v>
      </c>
      <c r="CA40" t="str">
        <f>IF(OR(AV40="Diff",BA40="Diff",BM40="Diff",BR40="Diff"),"Diff","")</f>
        <v>Diff</v>
      </c>
    </row>
    <row r="41" spans="1:79" x14ac:dyDescent="0.25">
      <c r="A41" t="s">
        <v>267</v>
      </c>
      <c r="B41" t="s">
        <v>167</v>
      </c>
      <c r="C41" t="s">
        <v>387</v>
      </c>
      <c r="D41" t="s">
        <v>388</v>
      </c>
      <c r="E41">
        <v>100</v>
      </c>
      <c r="F41">
        <v>100</v>
      </c>
      <c r="G41" t="s">
        <v>390</v>
      </c>
      <c r="H41" t="s">
        <v>384</v>
      </c>
      <c r="I41" t="s">
        <v>414</v>
      </c>
      <c r="J41" t="s">
        <v>392</v>
      </c>
      <c r="K41">
        <v>3500</v>
      </c>
      <c r="L41">
        <v>4500</v>
      </c>
      <c r="M41">
        <v>0</v>
      </c>
      <c r="N41">
        <v>0</v>
      </c>
      <c r="O41">
        <v>0</v>
      </c>
      <c r="P41">
        <v>0</v>
      </c>
      <c r="Q41">
        <v>1</v>
      </c>
      <c r="R41">
        <v>1</v>
      </c>
      <c r="S41">
        <v>1</v>
      </c>
      <c r="T41" s="2">
        <v>2.4</v>
      </c>
      <c r="U41">
        <v>0</v>
      </c>
      <c r="V41">
        <v>0</v>
      </c>
      <c r="W41">
        <v>1</v>
      </c>
      <c r="X41">
        <v>0</v>
      </c>
      <c r="Y41">
        <v>120</v>
      </c>
      <c r="Z41">
        <v>120</v>
      </c>
      <c r="AA41">
        <v>0.1</v>
      </c>
      <c r="AB41" s="2" t="s">
        <v>374</v>
      </c>
      <c r="AC41">
        <v>1</v>
      </c>
      <c r="AD41">
        <v>0</v>
      </c>
      <c r="AE41">
        <v>0</v>
      </c>
      <c r="AF41">
        <v>0</v>
      </c>
      <c r="AG41">
        <v>-180</v>
      </c>
      <c r="AH41">
        <v>180</v>
      </c>
      <c r="AI41">
        <v>-5</v>
      </c>
      <c r="AJ41">
        <v>89</v>
      </c>
      <c r="AO41">
        <v>5</v>
      </c>
      <c r="AQ41">
        <v>1</v>
      </c>
      <c r="AT41" s="5" t="str">
        <f t="shared" si="0"/>
        <v>Blank</v>
      </c>
      <c r="AU41" s="5" t="str">
        <f t="shared" si="1"/>
        <v>Blank</v>
      </c>
      <c r="AV41" s="5" t="str">
        <f t="shared" si="2"/>
        <v/>
      </c>
      <c r="AY41" s="5" t="str">
        <f t="shared" si="3"/>
        <v>Blank</v>
      </c>
      <c r="AZ41" s="5" t="str">
        <f t="shared" si="4"/>
        <v>Blank</v>
      </c>
      <c r="BA41" s="5" t="str">
        <f t="shared" si="5"/>
        <v/>
      </c>
      <c r="BH41" s="5">
        <v>1</v>
      </c>
      <c r="BI41" s="5">
        <v>0.08</v>
      </c>
      <c r="BJ41" s="5">
        <v>0.08</v>
      </c>
      <c r="BK41" s="5" t="str">
        <f t="shared" si="6"/>
        <v>Number</v>
      </c>
      <c r="BL41" s="5" t="str">
        <f t="shared" si="7"/>
        <v>Number</v>
      </c>
      <c r="BM41" s="5" t="str">
        <f t="shared" si="8"/>
        <v/>
      </c>
      <c r="BN41" s="5">
        <v>0.2</v>
      </c>
      <c r="BO41" s="5">
        <v>0.3</v>
      </c>
      <c r="BP41" s="5" t="str">
        <f t="shared" si="9"/>
        <v>Number</v>
      </c>
      <c r="BQ41" s="5" t="str">
        <f t="shared" si="10"/>
        <v>Number</v>
      </c>
      <c r="BR41" s="5" t="str">
        <f t="shared" si="11"/>
        <v>Diff</v>
      </c>
      <c r="BS41" s="5">
        <v>0.6</v>
      </c>
      <c r="BT41" s="5">
        <v>0.6</v>
      </c>
      <c r="BU41" s="5">
        <v>0.6</v>
      </c>
      <c r="BX41" s="5">
        <v>0.6</v>
      </c>
      <c r="CA41" t="str">
        <f>IF(OR(AV41="Diff",BA41="Diff",BM41="Diff",BR41="Diff"),"Diff","")</f>
        <v>Diff</v>
      </c>
    </row>
    <row r="42" spans="1:79" x14ac:dyDescent="0.25">
      <c r="A42" t="s">
        <v>268</v>
      </c>
      <c r="B42" t="s">
        <v>167</v>
      </c>
      <c r="C42" t="s">
        <v>387</v>
      </c>
      <c r="D42" t="s">
        <v>388</v>
      </c>
      <c r="E42">
        <v>40</v>
      </c>
      <c r="F42">
        <v>40</v>
      </c>
      <c r="G42" t="s">
        <v>390</v>
      </c>
      <c r="H42" t="s">
        <v>384</v>
      </c>
      <c r="I42" t="s">
        <v>414</v>
      </c>
      <c r="J42" t="s">
        <v>392</v>
      </c>
      <c r="K42">
        <v>2200</v>
      </c>
      <c r="L42" s="2">
        <v>2950</v>
      </c>
      <c r="M42">
        <v>0</v>
      </c>
      <c r="N42">
        <v>0</v>
      </c>
      <c r="O42">
        <v>0</v>
      </c>
      <c r="P42">
        <v>0</v>
      </c>
      <c r="Q42">
        <v>1</v>
      </c>
      <c r="R42">
        <v>1</v>
      </c>
      <c r="S42">
        <v>1</v>
      </c>
      <c r="T42">
        <v>5</v>
      </c>
      <c r="U42">
        <v>0</v>
      </c>
      <c r="V42">
        <v>0</v>
      </c>
      <c r="W42">
        <v>1</v>
      </c>
      <c r="X42">
        <v>0</v>
      </c>
      <c r="Y42">
        <v>60</v>
      </c>
      <c r="Z42">
        <v>60</v>
      </c>
      <c r="AA42">
        <v>0.1</v>
      </c>
      <c r="AB42" s="2" t="s">
        <v>374</v>
      </c>
      <c r="AC42">
        <v>1</v>
      </c>
      <c r="AD42">
        <v>0</v>
      </c>
      <c r="AE42">
        <v>0</v>
      </c>
      <c r="AF42" s="2">
        <v>5</v>
      </c>
      <c r="AG42">
        <v>-180</v>
      </c>
      <c r="AH42">
        <v>180</v>
      </c>
      <c r="AI42" s="2">
        <v>-12</v>
      </c>
      <c r="AJ42" s="2">
        <v>90</v>
      </c>
      <c r="AO42">
        <v>5</v>
      </c>
      <c r="AQ42">
        <v>1</v>
      </c>
      <c r="AS42" s="5">
        <v>2.25</v>
      </c>
      <c r="AT42" s="5" t="str">
        <f t="shared" si="0"/>
        <v>Blank</v>
      </c>
      <c r="AU42" s="5" t="str">
        <f t="shared" si="1"/>
        <v>Number</v>
      </c>
      <c r="AV42" s="5" t="str">
        <f t="shared" si="2"/>
        <v>Diff</v>
      </c>
      <c r="AW42" s="5">
        <v>1.03</v>
      </c>
      <c r="AX42" s="5">
        <v>2.0499999999999998</v>
      </c>
      <c r="AY42" s="5" t="str">
        <f t="shared" si="3"/>
        <v>Number</v>
      </c>
      <c r="AZ42" s="5" t="str">
        <f t="shared" si="4"/>
        <v>Number</v>
      </c>
      <c r="BA42" s="5" t="str">
        <f t="shared" si="5"/>
        <v>Diff</v>
      </c>
      <c r="BE42" s="5">
        <v>0.25</v>
      </c>
      <c r="BH42" s="5">
        <v>1</v>
      </c>
      <c r="BI42" s="5">
        <v>0.16</v>
      </c>
      <c r="BJ42" s="5">
        <v>0.35</v>
      </c>
      <c r="BK42" s="5" t="str">
        <f t="shared" si="6"/>
        <v>Number</v>
      </c>
      <c r="BL42" s="5" t="str">
        <f t="shared" si="7"/>
        <v>Number</v>
      </c>
      <c r="BM42" s="5" t="str">
        <f t="shared" si="8"/>
        <v>Diff</v>
      </c>
      <c r="BN42" s="5">
        <v>0.2</v>
      </c>
      <c r="BO42" s="5">
        <v>0.3</v>
      </c>
      <c r="BP42" s="5" t="str">
        <f t="shared" si="9"/>
        <v>Number</v>
      </c>
      <c r="BQ42" s="5" t="str">
        <f t="shared" si="10"/>
        <v>Number</v>
      </c>
      <c r="BR42" s="5" t="str">
        <f t="shared" si="11"/>
        <v>Diff</v>
      </c>
      <c r="CA42" t="str">
        <f>IF(OR(AV42="Diff",BA42="Diff",BM42="Diff",BR42="Diff"),"Diff","")</f>
        <v>Diff</v>
      </c>
    </row>
    <row r="43" spans="1:79" x14ac:dyDescent="0.25">
      <c r="A43" t="s">
        <v>269</v>
      </c>
      <c r="B43" t="s">
        <v>167</v>
      </c>
      <c r="C43" t="s">
        <v>387</v>
      </c>
      <c r="D43" t="s">
        <v>388</v>
      </c>
      <c r="E43">
        <v>300</v>
      </c>
      <c r="F43">
        <v>300</v>
      </c>
      <c r="G43" t="s">
        <v>390</v>
      </c>
      <c r="H43" t="s">
        <v>384</v>
      </c>
      <c r="I43" t="s">
        <v>414</v>
      </c>
      <c r="J43" t="s">
        <v>392</v>
      </c>
      <c r="K43">
        <v>1500</v>
      </c>
      <c r="L43">
        <v>2000</v>
      </c>
      <c r="M43">
        <v>0</v>
      </c>
      <c r="N43">
        <v>0</v>
      </c>
      <c r="O43">
        <v>0</v>
      </c>
      <c r="P43">
        <v>0</v>
      </c>
      <c r="Q43">
        <v>1</v>
      </c>
      <c r="R43">
        <v>1</v>
      </c>
      <c r="S43">
        <v>1</v>
      </c>
      <c r="T43">
        <v>1.2</v>
      </c>
      <c r="U43">
        <v>0</v>
      </c>
      <c r="V43">
        <v>0</v>
      </c>
      <c r="W43">
        <v>1</v>
      </c>
      <c r="X43">
        <v>0</v>
      </c>
      <c r="Y43">
        <v>120</v>
      </c>
      <c r="Z43">
        <v>120</v>
      </c>
      <c r="AA43">
        <v>0.1</v>
      </c>
      <c r="AB43" s="2" t="s">
        <v>374</v>
      </c>
      <c r="AC43">
        <v>1</v>
      </c>
      <c r="AD43">
        <v>0</v>
      </c>
      <c r="AE43">
        <v>0</v>
      </c>
      <c r="AF43">
        <v>0</v>
      </c>
      <c r="AG43">
        <v>-180</v>
      </c>
      <c r="AH43">
        <v>180</v>
      </c>
      <c r="AI43">
        <v>-5</v>
      </c>
      <c r="AJ43">
        <v>89</v>
      </c>
      <c r="AO43">
        <v>5</v>
      </c>
      <c r="AQ43">
        <v>1</v>
      </c>
      <c r="AT43" s="5" t="str">
        <f t="shared" si="0"/>
        <v>Blank</v>
      </c>
      <c r="AU43" s="5" t="str">
        <f t="shared" si="1"/>
        <v>Blank</v>
      </c>
      <c r="AV43" s="5" t="str">
        <f t="shared" si="2"/>
        <v/>
      </c>
      <c r="AY43" s="5" t="str">
        <f t="shared" si="3"/>
        <v>Blank</v>
      </c>
      <c r="AZ43" s="5" t="str">
        <f t="shared" si="4"/>
        <v>Blank</v>
      </c>
      <c r="BA43" s="5" t="str">
        <f t="shared" si="5"/>
        <v/>
      </c>
      <c r="BH43" s="5">
        <v>1</v>
      </c>
      <c r="BI43" s="5">
        <v>0.15</v>
      </c>
      <c r="BK43" s="5" t="str">
        <f t="shared" si="6"/>
        <v>Number</v>
      </c>
      <c r="BL43" s="5" t="str">
        <f t="shared" si="7"/>
        <v>Blank</v>
      </c>
      <c r="BM43" s="5" t="str">
        <f t="shared" si="8"/>
        <v>Diff</v>
      </c>
      <c r="BN43" s="5">
        <v>0.2</v>
      </c>
      <c r="BP43" s="5" t="str">
        <f t="shared" si="9"/>
        <v>Number</v>
      </c>
      <c r="BQ43" s="5" t="str">
        <f t="shared" si="10"/>
        <v>Blank</v>
      </c>
      <c r="BR43" s="5" t="str">
        <f t="shared" si="11"/>
        <v>Diff</v>
      </c>
      <c r="BS43" s="5">
        <v>0.6</v>
      </c>
      <c r="BT43" s="5">
        <v>0.6</v>
      </c>
      <c r="BU43" s="5">
        <v>0.6</v>
      </c>
      <c r="BX43" s="5">
        <v>0.6</v>
      </c>
      <c r="CA43" t="str">
        <f>IF(OR(AV43="Diff",BA43="Diff",BM43="Diff",BR43="Diff"),"Diff","")</f>
        <v>Diff</v>
      </c>
    </row>
    <row r="44" spans="1:79" x14ac:dyDescent="0.25">
      <c r="A44" t="s">
        <v>270</v>
      </c>
      <c r="B44" t="s">
        <v>167</v>
      </c>
      <c r="C44" t="s">
        <v>387</v>
      </c>
      <c r="D44" t="s">
        <v>388</v>
      </c>
      <c r="E44">
        <v>10</v>
      </c>
      <c r="F44">
        <v>10</v>
      </c>
      <c r="G44" t="s">
        <v>390</v>
      </c>
      <c r="H44" t="s">
        <v>384</v>
      </c>
      <c r="I44" t="s">
        <v>414</v>
      </c>
      <c r="J44" t="s">
        <v>392</v>
      </c>
      <c r="K44">
        <v>1500</v>
      </c>
      <c r="L44">
        <v>2000</v>
      </c>
      <c r="M44">
        <v>0</v>
      </c>
      <c r="N44">
        <v>0</v>
      </c>
      <c r="O44">
        <v>0</v>
      </c>
      <c r="P44">
        <v>0</v>
      </c>
      <c r="Q44">
        <v>1</v>
      </c>
      <c r="R44">
        <v>1</v>
      </c>
      <c r="S44">
        <v>1</v>
      </c>
      <c r="T44">
        <v>1.2</v>
      </c>
      <c r="U44">
        <v>0</v>
      </c>
      <c r="V44">
        <v>0</v>
      </c>
      <c r="W44">
        <v>1</v>
      </c>
      <c r="X44">
        <v>0</v>
      </c>
      <c r="Y44">
        <v>120</v>
      </c>
      <c r="Z44">
        <v>120</v>
      </c>
      <c r="AA44">
        <v>0.1</v>
      </c>
      <c r="AB44" s="2" t="s">
        <v>374</v>
      </c>
      <c r="AC44">
        <v>1</v>
      </c>
      <c r="AD44">
        <v>0</v>
      </c>
      <c r="AE44">
        <v>0</v>
      </c>
      <c r="AF44">
        <v>0</v>
      </c>
      <c r="AG44">
        <v>-180</v>
      </c>
      <c r="AH44">
        <v>180</v>
      </c>
      <c r="AI44">
        <v>-40</v>
      </c>
      <c r="AJ44">
        <v>60</v>
      </c>
      <c r="AO44">
        <v>5</v>
      </c>
      <c r="AQ44">
        <v>1</v>
      </c>
      <c r="AT44" s="5" t="str">
        <f t="shared" si="0"/>
        <v>Blank</v>
      </c>
      <c r="AU44" s="5" t="str">
        <f t="shared" si="1"/>
        <v>Blank</v>
      </c>
      <c r="AV44" s="5" t="str">
        <f t="shared" si="2"/>
        <v/>
      </c>
      <c r="AY44" s="5" t="str">
        <f t="shared" si="3"/>
        <v>Blank</v>
      </c>
      <c r="AZ44" s="5" t="str">
        <f t="shared" si="4"/>
        <v>Blank</v>
      </c>
      <c r="BA44" s="5" t="str">
        <f t="shared" si="5"/>
        <v/>
      </c>
      <c r="BH44" s="5">
        <v>1</v>
      </c>
      <c r="BI44" s="5">
        <v>0.15</v>
      </c>
      <c r="BK44" s="5" t="str">
        <f t="shared" si="6"/>
        <v>Number</v>
      </c>
      <c r="BL44" s="5" t="str">
        <f t="shared" si="7"/>
        <v>Blank</v>
      </c>
      <c r="BM44" s="5" t="str">
        <f t="shared" si="8"/>
        <v>Diff</v>
      </c>
      <c r="BN44" s="5">
        <v>0.4</v>
      </c>
      <c r="BP44" s="5" t="str">
        <f t="shared" si="9"/>
        <v>Number</v>
      </c>
      <c r="BQ44" s="5" t="str">
        <f t="shared" si="10"/>
        <v>Blank</v>
      </c>
      <c r="BR44" s="5" t="str">
        <f t="shared" si="11"/>
        <v>Diff</v>
      </c>
      <c r="BS44" s="5">
        <v>0.6</v>
      </c>
      <c r="BT44" s="5">
        <v>0.6</v>
      </c>
      <c r="BU44" s="5">
        <v>0.6</v>
      </c>
      <c r="BX44" s="5">
        <v>0.6</v>
      </c>
      <c r="CA44" t="str">
        <f>IF(OR(AV44="Diff",BA44="Diff",BM44="Diff",BR44="Diff"),"Diff","")</f>
        <v>Diff</v>
      </c>
    </row>
    <row r="45" spans="1:79" x14ac:dyDescent="0.25">
      <c r="A45" t="s">
        <v>313</v>
      </c>
      <c r="B45" t="s">
        <v>167</v>
      </c>
      <c r="C45" t="s">
        <v>387</v>
      </c>
      <c r="D45" t="s">
        <v>388</v>
      </c>
      <c r="E45" s="2">
        <v>200</v>
      </c>
      <c r="F45" s="2">
        <v>275</v>
      </c>
      <c r="G45" t="s">
        <v>383</v>
      </c>
      <c r="H45" t="s">
        <v>384</v>
      </c>
      <c r="I45" s="2" t="s">
        <v>405</v>
      </c>
      <c r="J45" t="s">
        <v>392</v>
      </c>
      <c r="K45" s="2">
        <v>1750</v>
      </c>
      <c r="L45" s="2">
        <v>3200</v>
      </c>
      <c r="M45">
        <v>0</v>
      </c>
      <c r="N45">
        <v>0</v>
      </c>
      <c r="O45">
        <v>0</v>
      </c>
      <c r="P45">
        <v>0</v>
      </c>
      <c r="Q45">
        <v>1</v>
      </c>
      <c r="R45">
        <v>1</v>
      </c>
      <c r="S45">
        <v>1</v>
      </c>
      <c r="T45" s="2">
        <v>6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0.1</v>
      </c>
      <c r="AB45" t="s">
        <v>374</v>
      </c>
      <c r="AC45">
        <v>0</v>
      </c>
      <c r="AD45">
        <v>0</v>
      </c>
      <c r="AE45">
        <v>0</v>
      </c>
      <c r="AF45">
        <v>30</v>
      </c>
      <c r="AG45">
        <v>0</v>
      </c>
      <c r="AH45">
        <v>0</v>
      </c>
      <c r="AI45">
        <v>0</v>
      </c>
      <c r="AJ45">
        <v>0</v>
      </c>
      <c r="AO45">
        <v>5</v>
      </c>
      <c r="AQ45">
        <v>1</v>
      </c>
      <c r="AR45" s="5">
        <v>0.11</v>
      </c>
      <c r="AS45" s="5">
        <v>0.11</v>
      </c>
      <c r="AT45" s="5" t="str">
        <f t="shared" si="0"/>
        <v>Number</v>
      </c>
      <c r="AU45" s="5" t="str">
        <f t="shared" si="1"/>
        <v>Number</v>
      </c>
      <c r="AV45" s="5" t="str">
        <f t="shared" si="2"/>
        <v/>
      </c>
      <c r="AW45" s="5">
        <v>1</v>
      </c>
      <c r="AX45" s="5">
        <v>1.4</v>
      </c>
      <c r="AY45" s="5" t="str">
        <f t="shared" si="3"/>
        <v>Number</v>
      </c>
      <c r="AZ45" s="5" t="str">
        <f t="shared" si="4"/>
        <v>Number</v>
      </c>
      <c r="BA45" s="5" t="str">
        <f t="shared" si="5"/>
        <v>Diff</v>
      </c>
      <c r="BB45" s="5">
        <v>0.89</v>
      </c>
      <c r="BC45" s="5">
        <v>1.1000000000000001</v>
      </c>
      <c r="BD45" s="5">
        <v>0.85</v>
      </c>
      <c r="BE45" s="5">
        <v>0.2</v>
      </c>
      <c r="BF45" s="5">
        <v>1</v>
      </c>
      <c r="BG45" s="5">
        <v>0.11</v>
      </c>
      <c r="BH45" s="5">
        <v>1</v>
      </c>
      <c r="BI45" s="5">
        <v>0.06</v>
      </c>
      <c r="BJ45" s="5">
        <v>0.11</v>
      </c>
      <c r="BK45" s="5" t="str">
        <f t="shared" si="6"/>
        <v>Number</v>
      </c>
      <c r="BL45" s="5" t="str">
        <f t="shared" si="7"/>
        <v>Number</v>
      </c>
      <c r="BM45" s="5" t="str">
        <f t="shared" si="8"/>
        <v>Diff</v>
      </c>
      <c r="BN45" s="5">
        <v>0.56000000000000005</v>
      </c>
      <c r="BO45" s="5">
        <v>0.66</v>
      </c>
      <c r="BP45" s="5" t="str">
        <f t="shared" si="9"/>
        <v>Number</v>
      </c>
      <c r="BQ45" s="5" t="str">
        <f t="shared" si="10"/>
        <v>Number</v>
      </c>
      <c r="BR45" s="5" t="str">
        <f t="shared" si="11"/>
        <v>Diff</v>
      </c>
      <c r="BS45" s="5">
        <v>0.9</v>
      </c>
      <c r="BT45" s="5">
        <v>0.93</v>
      </c>
      <c r="BU45" s="5">
        <v>0.93</v>
      </c>
      <c r="BX45" s="5">
        <v>0.6</v>
      </c>
      <c r="BY45" s="5">
        <v>1</v>
      </c>
      <c r="CA45" t="str">
        <f>IF(OR(AV45="Diff",BA45="Diff",BM45="Diff",BR45="Diff"),"Diff","")</f>
        <v>Diff</v>
      </c>
    </row>
    <row r="46" spans="1:79" x14ac:dyDescent="0.25">
      <c r="A46" t="s">
        <v>314</v>
      </c>
      <c r="B46" t="s">
        <v>167</v>
      </c>
      <c r="C46" t="s">
        <v>387</v>
      </c>
      <c r="D46" t="s">
        <v>388</v>
      </c>
      <c r="E46" s="2">
        <v>70</v>
      </c>
      <c r="F46" s="2">
        <v>74</v>
      </c>
      <c r="G46" t="s">
        <v>390</v>
      </c>
      <c r="H46" t="s">
        <v>384</v>
      </c>
      <c r="I46" s="2" t="s">
        <v>429</v>
      </c>
      <c r="J46" t="s">
        <v>392</v>
      </c>
      <c r="K46" s="2">
        <v>2600</v>
      </c>
      <c r="L46" s="2">
        <v>3200</v>
      </c>
      <c r="M46">
        <v>0</v>
      </c>
      <c r="N46">
        <v>0</v>
      </c>
      <c r="O46">
        <v>0</v>
      </c>
      <c r="P46">
        <v>0</v>
      </c>
      <c r="Q46">
        <v>1</v>
      </c>
      <c r="R46">
        <v>1</v>
      </c>
      <c r="S46">
        <v>1</v>
      </c>
      <c r="T46" s="2">
        <v>2</v>
      </c>
      <c r="U46">
        <v>0</v>
      </c>
      <c r="V46">
        <v>0</v>
      </c>
      <c r="W46">
        <v>1</v>
      </c>
      <c r="X46">
        <v>0</v>
      </c>
      <c r="Y46" s="2">
        <v>75</v>
      </c>
      <c r="Z46" s="2">
        <v>75</v>
      </c>
      <c r="AA46">
        <v>0.1</v>
      </c>
      <c r="AB46" t="s">
        <v>374</v>
      </c>
      <c r="AC46">
        <v>1</v>
      </c>
      <c r="AD46">
        <v>0</v>
      </c>
      <c r="AE46">
        <v>0</v>
      </c>
      <c r="AF46">
        <v>0</v>
      </c>
      <c r="AG46">
        <v>-150</v>
      </c>
      <c r="AH46">
        <v>150</v>
      </c>
      <c r="AI46">
        <v>-10</v>
      </c>
      <c r="AJ46">
        <v>60</v>
      </c>
      <c r="AO46">
        <v>5</v>
      </c>
      <c r="AQ46">
        <v>1</v>
      </c>
      <c r="AR46" s="5">
        <v>0.1</v>
      </c>
      <c r="AS46" s="5">
        <v>0.2</v>
      </c>
      <c r="AT46" s="5" t="str">
        <f t="shared" si="0"/>
        <v>Number</v>
      </c>
      <c r="AU46" s="5" t="str">
        <f t="shared" si="1"/>
        <v>Number</v>
      </c>
      <c r="AV46" s="5" t="str">
        <f t="shared" si="2"/>
        <v>Diff</v>
      </c>
      <c r="AW46" s="5">
        <v>0.32</v>
      </c>
      <c r="AX46" s="5">
        <v>0.56000000000000005</v>
      </c>
      <c r="AY46" s="5" t="str">
        <f t="shared" si="3"/>
        <v>Number</v>
      </c>
      <c r="AZ46" s="5" t="str">
        <f t="shared" si="4"/>
        <v>Number</v>
      </c>
      <c r="BA46" s="5" t="str">
        <f t="shared" si="5"/>
        <v>Diff</v>
      </c>
      <c r="BB46" s="5">
        <v>1.1000000000000001</v>
      </c>
      <c r="BC46" s="5">
        <v>0.9</v>
      </c>
      <c r="BD46" s="5">
        <v>0.85</v>
      </c>
      <c r="BE46" s="5">
        <v>0.8</v>
      </c>
      <c r="BF46" s="5">
        <v>0.2</v>
      </c>
      <c r="BG46" s="5">
        <v>0.184</v>
      </c>
      <c r="BH46" s="5">
        <v>1</v>
      </c>
      <c r="BI46" s="5">
        <v>0.04</v>
      </c>
      <c r="BJ46" s="5">
        <v>0.08</v>
      </c>
      <c r="BK46" s="5" t="str">
        <f t="shared" si="6"/>
        <v>Number</v>
      </c>
      <c r="BL46" s="5" t="str">
        <f t="shared" si="7"/>
        <v>Number</v>
      </c>
      <c r="BM46" s="5" t="str">
        <f t="shared" si="8"/>
        <v>Diff</v>
      </c>
      <c r="BN46" s="5">
        <v>0.4</v>
      </c>
      <c r="BO46" s="5">
        <v>0.64</v>
      </c>
      <c r="BP46" s="5" t="str">
        <f t="shared" si="9"/>
        <v>Number</v>
      </c>
      <c r="BQ46" s="5" t="str">
        <f t="shared" si="10"/>
        <v>Number</v>
      </c>
      <c r="BR46" s="5" t="str">
        <f t="shared" si="11"/>
        <v>Diff</v>
      </c>
      <c r="BS46" s="5">
        <v>0.9</v>
      </c>
      <c r="BT46" s="5">
        <v>0.89</v>
      </c>
      <c r="BU46" s="5">
        <v>0.89</v>
      </c>
      <c r="BW46" s="5">
        <v>0.89</v>
      </c>
      <c r="BX46" s="5">
        <v>0.6</v>
      </c>
      <c r="BY46" s="5">
        <v>1</v>
      </c>
      <c r="CA46" t="str">
        <f>IF(OR(AV46="Diff",BA46="Diff",BM46="Diff",BR46="Diff"),"Diff","")</f>
        <v>Diff</v>
      </c>
    </row>
    <row r="47" spans="1:79" x14ac:dyDescent="0.25">
      <c r="A47" t="s">
        <v>315</v>
      </c>
      <c r="B47" t="s">
        <v>167</v>
      </c>
      <c r="C47" t="s">
        <v>387</v>
      </c>
      <c r="D47" t="s">
        <v>388</v>
      </c>
      <c r="E47" s="2">
        <v>16</v>
      </c>
      <c r="F47" s="2">
        <v>22</v>
      </c>
      <c r="G47" t="s">
        <v>383</v>
      </c>
      <c r="H47" t="s">
        <v>384</v>
      </c>
      <c r="I47" s="2" t="s">
        <v>430</v>
      </c>
      <c r="J47" t="s">
        <v>392</v>
      </c>
      <c r="K47">
        <v>2200</v>
      </c>
      <c r="L47" s="2">
        <v>2500</v>
      </c>
      <c r="M47">
        <v>0</v>
      </c>
      <c r="N47">
        <v>0</v>
      </c>
      <c r="O47">
        <v>0</v>
      </c>
      <c r="P47">
        <v>0</v>
      </c>
      <c r="Q47">
        <v>1</v>
      </c>
      <c r="R47">
        <v>1</v>
      </c>
      <c r="S47">
        <v>0</v>
      </c>
      <c r="T47" s="2">
        <v>0.18</v>
      </c>
      <c r="U47" s="2">
        <v>2</v>
      </c>
      <c r="V47" s="2">
        <v>1</v>
      </c>
      <c r="W47">
        <v>0</v>
      </c>
      <c r="X47">
        <v>0</v>
      </c>
      <c r="Y47">
        <v>0</v>
      </c>
      <c r="Z47">
        <v>0</v>
      </c>
      <c r="AA47">
        <v>0.1</v>
      </c>
      <c r="AB47" t="s">
        <v>374</v>
      </c>
      <c r="AC47">
        <v>0</v>
      </c>
      <c r="AD47">
        <v>0</v>
      </c>
      <c r="AE47">
        <v>0</v>
      </c>
      <c r="AF47" s="2">
        <v>15</v>
      </c>
      <c r="AG47">
        <v>0</v>
      </c>
      <c r="AH47">
        <v>0</v>
      </c>
      <c r="AI47">
        <v>0</v>
      </c>
      <c r="AJ47">
        <v>0</v>
      </c>
      <c r="AO47">
        <v>5</v>
      </c>
      <c r="AQ47">
        <v>1</v>
      </c>
      <c r="AR47" s="5">
        <v>1</v>
      </c>
      <c r="AS47" s="5">
        <v>2</v>
      </c>
      <c r="AT47" s="5" t="str">
        <f t="shared" si="0"/>
        <v>Number</v>
      </c>
      <c r="AU47" s="5" t="str">
        <f t="shared" si="1"/>
        <v>Number</v>
      </c>
      <c r="AV47" s="5" t="str">
        <f t="shared" si="2"/>
        <v>Diff</v>
      </c>
      <c r="AW47" s="5">
        <v>1</v>
      </c>
      <c r="AX47" s="5">
        <v>1.5</v>
      </c>
      <c r="AY47" s="5" t="str">
        <f t="shared" si="3"/>
        <v>Number</v>
      </c>
      <c r="AZ47" s="5" t="str">
        <f t="shared" si="4"/>
        <v>Number</v>
      </c>
      <c r="BA47" s="5" t="str">
        <f t="shared" si="5"/>
        <v>Diff</v>
      </c>
      <c r="BB47" s="5">
        <v>1.5</v>
      </c>
      <c r="BC47" s="5">
        <v>1.2</v>
      </c>
      <c r="BE47" s="5">
        <v>0.8</v>
      </c>
      <c r="BF47" s="5">
        <v>2.5</v>
      </c>
      <c r="BG47" s="5">
        <v>0.8</v>
      </c>
      <c r="BH47" s="5">
        <v>1</v>
      </c>
      <c r="BI47" s="5">
        <v>0.15</v>
      </c>
      <c r="BJ47" s="5">
        <v>0.3</v>
      </c>
      <c r="BK47" s="5" t="str">
        <f t="shared" si="6"/>
        <v>Number</v>
      </c>
      <c r="BL47" s="5" t="str">
        <f t="shared" si="7"/>
        <v>Number</v>
      </c>
      <c r="BM47" s="5" t="str">
        <f t="shared" si="8"/>
        <v>Diff</v>
      </c>
      <c r="BN47" s="5">
        <v>0.39</v>
      </c>
      <c r="BO47" s="5">
        <v>0.8</v>
      </c>
      <c r="BP47" s="5" t="str">
        <f t="shared" si="9"/>
        <v>Number</v>
      </c>
      <c r="BQ47" s="5" t="str">
        <f t="shared" si="10"/>
        <v>Number</v>
      </c>
      <c r="BR47" s="5" t="str">
        <f t="shared" si="11"/>
        <v>Diff</v>
      </c>
      <c r="BS47" s="5">
        <v>0.9</v>
      </c>
      <c r="BT47" s="5">
        <v>1</v>
      </c>
      <c r="BU47" s="5">
        <v>1</v>
      </c>
      <c r="BX47" s="5">
        <v>0.8</v>
      </c>
      <c r="CA47" t="str">
        <f>IF(OR(AV47="Diff",BA47="Diff",BM47="Diff",BR47="Diff"),"Diff","")</f>
        <v>Diff</v>
      </c>
    </row>
    <row r="48" spans="1:79" hidden="1" x14ac:dyDescent="0.25">
      <c r="A48" t="s">
        <v>316</v>
      </c>
      <c r="B48" t="s">
        <v>167</v>
      </c>
      <c r="C48" t="s">
        <v>387</v>
      </c>
      <c r="D48" t="s">
        <v>388</v>
      </c>
      <c r="E48" s="2">
        <v>1500</v>
      </c>
      <c r="F48" s="2">
        <v>1500</v>
      </c>
      <c r="G48" t="s">
        <v>390</v>
      </c>
      <c r="H48" t="s">
        <v>384</v>
      </c>
      <c r="I48" t="s">
        <v>391</v>
      </c>
      <c r="J48" t="s">
        <v>392</v>
      </c>
      <c r="K48">
        <v>5000</v>
      </c>
      <c r="L48">
        <v>5500</v>
      </c>
      <c r="M48">
        <v>0</v>
      </c>
      <c r="N48">
        <v>0</v>
      </c>
      <c r="O48">
        <v>0</v>
      </c>
      <c r="P48">
        <v>0</v>
      </c>
      <c r="Q48">
        <v>1</v>
      </c>
      <c r="R48">
        <v>1</v>
      </c>
      <c r="S48">
        <v>1</v>
      </c>
      <c r="T48" s="2">
        <v>5.5</v>
      </c>
      <c r="U48">
        <v>0</v>
      </c>
      <c r="V48">
        <v>0</v>
      </c>
      <c r="W48">
        <v>1</v>
      </c>
      <c r="X48">
        <v>1</v>
      </c>
      <c r="Y48">
        <v>33</v>
      </c>
      <c r="Z48">
        <v>20</v>
      </c>
      <c r="AA48">
        <v>0.1</v>
      </c>
      <c r="AB48" t="s">
        <v>374</v>
      </c>
      <c r="AC48">
        <v>1</v>
      </c>
      <c r="AD48">
        <v>0</v>
      </c>
      <c r="AE48">
        <v>0</v>
      </c>
      <c r="AF48">
        <v>0</v>
      </c>
      <c r="AG48">
        <v>-15</v>
      </c>
      <c r="AH48">
        <v>180</v>
      </c>
      <c r="AI48">
        <v>-11</v>
      </c>
      <c r="AJ48">
        <v>45</v>
      </c>
      <c r="AO48">
        <v>30</v>
      </c>
      <c r="AP48"/>
      <c r="AQ48">
        <v>1</v>
      </c>
      <c r="AT48" s="5" t="str">
        <f t="shared" si="0"/>
        <v>Blank</v>
      </c>
      <c r="AU48" s="5" t="str">
        <f t="shared" si="1"/>
        <v>Blank</v>
      </c>
      <c r="AV48" s="5" t="str">
        <f t="shared" si="2"/>
        <v/>
      </c>
      <c r="AY48" s="5" t="str">
        <f t="shared" si="3"/>
        <v>Blank</v>
      </c>
      <c r="AZ48" s="5" t="str">
        <f t="shared" si="4"/>
        <v>Blank</v>
      </c>
      <c r="BA48" s="5" t="str">
        <f t="shared" si="5"/>
        <v/>
      </c>
      <c r="BE48" s="5">
        <v>0.6</v>
      </c>
      <c r="BF48" s="5">
        <v>0.3</v>
      </c>
      <c r="BH48" s="5">
        <v>1</v>
      </c>
      <c r="BI48" s="5">
        <v>0.05</v>
      </c>
      <c r="BJ48" s="5">
        <v>0.05</v>
      </c>
      <c r="BK48" s="5" t="str">
        <f t="shared" si="6"/>
        <v>Number</v>
      </c>
      <c r="BL48" s="5" t="str">
        <f t="shared" si="7"/>
        <v>Number</v>
      </c>
      <c r="BM48" s="5" t="str">
        <f t="shared" si="8"/>
        <v/>
      </c>
      <c r="BN48" s="5">
        <v>0.06</v>
      </c>
      <c r="BO48" s="5">
        <v>0.06</v>
      </c>
      <c r="BP48" s="5" t="str">
        <f t="shared" si="9"/>
        <v>Number</v>
      </c>
      <c r="BQ48" s="5" t="str">
        <f t="shared" si="10"/>
        <v>Number</v>
      </c>
      <c r="BR48" s="5" t="str">
        <f t="shared" si="11"/>
        <v/>
      </c>
      <c r="CA48" t="str">
        <f>IF(OR(AV48="Diff",BA48="Diff",BM48="Diff",BR48="Diff"),"Diff","")</f>
        <v/>
      </c>
    </row>
    <row r="49" spans="1:79" hidden="1" x14ac:dyDescent="0.25">
      <c r="A49" t="s">
        <v>317</v>
      </c>
      <c r="B49" t="s">
        <v>167</v>
      </c>
      <c r="C49" t="s">
        <v>387</v>
      </c>
      <c r="D49" t="s">
        <v>388</v>
      </c>
      <c r="E49" s="2">
        <v>1500</v>
      </c>
      <c r="F49" s="2">
        <v>1500</v>
      </c>
      <c r="G49" t="s">
        <v>390</v>
      </c>
      <c r="H49" t="s">
        <v>384</v>
      </c>
      <c r="I49" t="s">
        <v>391</v>
      </c>
      <c r="J49" t="s">
        <v>392</v>
      </c>
      <c r="K49">
        <v>5000</v>
      </c>
      <c r="L49">
        <v>5500</v>
      </c>
      <c r="M49">
        <v>0</v>
      </c>
      <c r="N49">
        <v>0</v>
      </c>
      <c r="O49">
        <v>0</v>
      </c>
      <c r="P49">
        <v>0</v>
      </c>
      <c r="Q49">
        <v>1</v>
      </c>
      <c r="R49">
        <v>1</v>
      </c>
      <c r="S49">
        <v>1</v>
      </c>
      <c r="T49" s="2">
        <v>5.5</v>
      </c>
      <c r="U49">
        <v>0</v>
      </c>
      <c r="V49">
        <v>0</v>
      </c>
      <c r="W49">
        <v>1</v>
      </c>
      <c r="X49">
        <v>1</v>
      </c>
      <c r="Y49">
        <v>33</v>
      </c>
      <c r="Z49">
        <v>20</v>
      </c>
      <c r="AA49">
        <v>0.1</v>
      </c>
      <c r="AB49" t="s">
        <v>374</v>
      </c>
      <c r="AC49">
        <v>1</v>
      </c>
      <c r="AD49">
        <v>0</v>
      </c>
      <c r="AE49">
        <v>0</v>
      </c>
      <c r="AF49">
        <v>0</v>
      </c>
      <c r="AG49">
        <v>-180</v>
      </c>
      <c r="AH49">
        <v>15</v>
      </c>
      <c r="AI49">
        <v>-11</v>
      </c>
      <c r="AJ49">
        <v>45</v>
      </c>
      <c r="AO49">
        <v>30</v>
      </c>
      <c r="AP49"/>
      <c r="AQ49">
        <v>1</v>
      </c>
      <c r="AT49" s="5" t="str">
        <f t="shared" si="0"/>
        <v>Blank</v>
      </c>
      <c r="AU49" s="5" t="str">
        <f t="shared" si="1"/>
        <v>Blank</v>
      </c>
      <c r="AV49" s="5" t="str">
        <f t="shared" si="2"/>
        <v/>
      </c>
      <c r="AY49" s="5" t="str">
        <f t="shared" si="3"/>
        <v>Blank</v>
      </c>
      <c r="AZ49" s="5" t="str">
        <f t="shared" si="4"/>
        <v>Blank</v>
      </c>
      <c r="BA49" s="5" t="str">
        <f t="shared" si="5"/>
        <v/>
      </c>
      <c r="BE49" s="5">
        <v>0.6</v>
      </c>
      <c r="BF49" s="5">
        <v>0.3</v>
      </c>
      <c r="BH49" s="5">
        <v>1</v>
      </c>
      <c r="BI49" s="5">
        <v>0.05</v>
      </c>
      <c r="BJ49" s="5">
        <v>0.05</v>
      </c>
      <c r="BK49" s="5" t="str">
        <f t="shared" si="6"/>
        <v>Number</v>
      </c>
      <c r="BL49" s="5" t="str">
        <f t="shared" si="7"/>
        <v>Number</v>
      </c>
      <c r="BM49" s="5" t="str">
        <f t="shared" si="8"/>
        <v/>
      </c>
      <c r="BN49" s="5">
        <v>0.06</v>
      </c>
      <c r="BO49" s="5">
        <v>0.06</v>
      </c>
      <c r="BP49" s="5" t="str">
        <f t="shared" si="9"/>
        <v>Number</v>
      </c>
      <c r="BQ49" s="5" t="str">
        <f t="shared" si="10"/>
        <v>Number</v>
      </c>
      <c r="BR49" s="5" t="str">
        <f t="shared" si="11"/>
        <v/>
      </c>
      <c r="CA49" t="str">
        <f>IF(OR(AV49="Diff",BA49="Diff",BM49="Diff",BR49="Diff"),"Diff","")</f>
        <v/>
      </c>
    </row>
    <row r="50" spans="1:79" hidden="1" x14ac:dyDescent="0.25">
      <c r="A50" t="s">
        <v>318</v>
      </c>
      <c r="B50" t="s">
        <v>167</v>
      </c>
      <c r="C50" t="s">
        <v>387</v>
      </c>
      <c r="D50" t="s">
        <v>388</v>
      </c>
      <c r="E50" s="2">
        <v>1500</v>
      </c>
      <c r="F50" s="2">
        <v>1500</v>
      </c>
      <c r="G50" t="s">
        <v>390</v>
      </c>
      <c r="H50" t="s">
        <v>384</v>
      </c>
      <c r="I50" t="s">
        <v>391</v>
      </c>
      <c r="J50" t="s">
        <v>392</v>
      </c>
      <c r="K50">
        <v>5000</v>
      </c>
      <c r="L50">
        <v>5500</v>
      </c>
      <c r="M50">
        <v>0</v>
      </c>
      <c r="N50">
        <v>0</v>
      </c>
      <c r="O50">
        <v>0</v>
      </c>
      <c r="P50">
        <v>0</v>
      </c>
      <c r="Q50">
        <v>1</v>
      </c>
      <c r="R50">
        <v>1</v>
      </c>
      <c r="S50">
        <v>1</v>
      </c>
      <c r="T50" s="2">
        <v>5.5</v>
      </c>
      <c r="U50">
        <v>0</v>
      </c>
      <c r="V50">
        <v>0</v>
      </c>
      <c r="W50">
        <v>1</v>
      </c>
      <c r="X50">
        <v>1</v>
      </c>
      <c r="Y50">
        <v>33</v>
      </c>
      <c r="Z50">
        <v>20</v>
      </c>
      <c r="AA50">
        <v>0.1</v>
      </c>
      <c r="AB50" t="s">
        <v>374</v>
      </c>
      <c r="AC50">
        <v>1</v>
      </c>
      <c r="AD50">
        <v>0</v>
      </c>
      <c r="AE50">
        <v>0</v>
      </c>
      <c r="AF50">
        <v>0</v>
      </c>
      <c r="AG50">
        <v>-180</v>
      </c>
      <c r="AH50">
        <v>180</v>
      </c>
      <c r="AI50">
        <v>-11</v>
      </c>
      <c r="AJ50">
        <v>45</v>
      </c>
      <c r="AO50">
        <v>30</v>
      </c>
      <c r="AP50"/>
      <c r="AQ50">
        <v>1</v>
      </c>
      <c r="AT50" s="5" t="str">
        <f t="shared" si="0"/>
        <v>Blank</v>
      </c>
      <c r="AU50" s="5" t="str">
        <f t="shared" si="1"/>
        <v>Blank</v>
      </c>
      <c r="AV50" s="5" t="str">
        <f t="shared" si="2"/>
        <v/>
      </c>
      <c r="AY50" s="5" t="str">
        <f t="shared" si="3"/>
        <v>Blank</v>
      </c>
      <c r="AZ50" s="5" t="str">
        <f t="shared" si="4"/>
        <v>Blank</v>
      </c>
      <c r="BA50" s="5" t="str">
        <f t="shared" si="5"/>
        <v/>
      </c>
      <c r="BE50" s="5">
        <v>0.6</v>
      </c>
      <c r="BF50" s="5">
        <v>0.3</v>
      </c>
      <c r="BH50" s="5">
        <v>1</v>
      </c>
      <c r="BI50" s="5">
        <v>0.05</v>
      </c>
      <c r="BJ50" s="5">
        <v>0.05</v>
      </c>
      <c r="BK50" s="5" t="str">
        <f t="shared" si="6"/>
        <v>Number</v>
      </c>
      <c r="BL50" s="5" t="str">
        <f t="shared" si="7"/>
        <v>Number</v>
      </c>
      <c r="BM50" s="5" t="str">
        <f t="shared" si="8"/>
        <v/>
      </c>
      <c r="BN50" s="5">
        <v>0.06</v>
      </c>
      <c r="BO50" s="5">
        <v>0.06</v>
      </c>
      <c r="BP50" s="5" t="str">
        <f t="shared" si="9"/>
        <v>Number</v>
      </c>
      <c r="BQ50" s="5" t="str">
        <f t="shared" si="10"/>
        <v>Number</v>
      </c>
      <c r="BR50" s="5" t="str">
        <f t="shared" si="11"/>
        <v/>
      </c>
      <c r="CA50" t="str">
        <f>IF(OR(AV50="Diff",BA50="Diff",BM50="Diff",BR50="Diff"),"Diff","")</f>
        <v/>
      </c>
    </row>
    <row r="51" spans="1:79" hidden="1" x14ac:dyDescent="0.25">
      <c r="A51" t="s">
        <v>319</v>
      </c>
      <c r="B51" t="s">
        <v>167</v>
      </c>
      <c r="C51" t="s">
        <v>387</v>
      </c>
      <c r="D51" t="s">
        <v>388</v>
      </c>
      <c r="E51" s="2">
        <v>2400</v>
      </c>
      <c r="F51" s="2">
        <v>2400</v>
      </c>
      <c r="G51" t="s">
        <v>390</v>
      </c>
      <c r="H51" t="s">
        <v>393</v>
      </c>
      <c r="I51" t="s">
        <v>431</v>
      </c>
      <c r="J51" t="s">
        <v>392</v>
      </c>
      <c r="K51">
        <v>0</v>
      </c>
      <c r="L51" s="2">
        <v>5300</v>
      </c>
      <c r="M51">
        <v>0</v>
      </c>
      <c r="N51">
        <v>5</v>
      </c>
      <c r="O51">
        <v>2</v>
      </c>
      <c r="P51">
        <v>0</v>
      </c>
      <c r="Q51">
        <v>20</v>
      </c>
      <c r="R51">
        <v>0</v>
      </c>
      <c r="S51">
        <v>1</v>
      </c>
      <c r="T51" s="2">
        <v>7</v>
      </c>
      <c r="U51">
        <v>0</v>
      </c>
      <c r="V51">
        <v>0</v>
      </c>
      <c r="W51">
        <v>1</v>
      </c>
      <c r="X51">
        <v>1</v>
      </c>
      <c r="Y51">
        <v>29</v>
      </c>
      <c r="Z51">
        <v>29</v>
      </c>
      <c r="AA51">
        <v>0.1</v>
      </c>
      <c r="AB51" t="s">
        <v>374</v>
      </c>
      <c r="AC51">
        <v>1</v>
      </c>
      <c r="AD51">
        <v>0</v>
      </c>
      <c r="AE51">
        <v>1000</v>
      </c>
      <c r="AF51">
        <v>0</v>
      </c>
      <c r="AG51">
        <v>-115</v>
      </c>
      <c r="AH51">
        <v>115</v>
      </c>
      <c r="AI51">
        <v>-2</v>
      </c>
      <c r="AJ51">
        <v>12</v>
      </c>
      <c r="AK51" t="s">
        <v>387</v>
      </c>
      <c r="AL51" t="s">
        <v>395</v>
      </c>
      <c r="AM51">
        <v>-72</v>
      </c>
      <c r="AN51">
        <v>-72</v>
      </c>
      <c r="AO51">
        <v>50</v>
      </c>
      <c r="AP51"/>
      <c r="AQ51">
        <v>1</v>
      </c>
      <c r="AT51" s="5" t="str">
        <f t="shared" si="0"/>
        <v>Blank</v>
      </c>
      <c r="AU51" s="5" t="str">
        <f t="shared" si="1"/>
        <v>Blank</v>
      </c>
      <c r="AV51" s="5" t="str">
        <f t="shared" si="2"/>
        <v/>
      </c>
      <c r="AY51" s="5" t="str">
        <f t="shared" si="3"/>
        <v>Blank</v>
      </c>
      <c r="AZ51" s="5" t="str">
        <f t="shared" si="4"/>
        <v>Blank</v>
      </c>
      <c r="BA51" s="5" t="str">
        <f t="shared" si="5"/>
        <v/>
      </c>
      <c r="BB51" s="5">
        <v>0.94</v>
      </c>
      <c r="BC51" s="5">
        <v>1</v>
      </c>
      <c r="BE51" s="5">
        <v>0.2</v>
      </c>
      <c r="BF51" s="5">
        <v>0.3</v>
      </c>
      <c r="BH51" s="5">
        <v>1</v>
      </c>
      <c r="BI51" s="5">
        <v>0</v>
      </c>
      <c r="BJ51" s="5">
        <v>0</v>
      </c>
      <c r="BK51" s="5" t="str">
        <f t="shared" si="6"/>
        <v>Zero</v>
      </c>
      <c r="BL51" s="5" t="str">
        <f t="shared" si="7"/>
        <v>Zero</v>
      </c>
      <c r="BM51" s="5" t="str">
        <f t="shared" si="8"/>
        <v/>
      </c>
      <c r="BN51" s="5">
        <v>0</v>
      </c>
      <c r="BO51" s="5">
        <v>0</v>
      </c>
      <c r="BP51" s="5" t="str">
        <f t="shared" si="9"/>
        <v>Zero</v>
      </c>
      <c r="BQ51" s="5" t="str">
        <f t="shared" si="10"/>
        <v>Zero</v>
      </c>
      <c r="BR51" s="5" t="str">
        <f t="shared" si="11"/>
        <v/>
      </c>
      <c r="CA51" t="str">
        <f>IF(OR(AV51="Diff",BA51="Diff",BM51="Diff",BR51="Diff"),"Diff","")</f>
        <v/>
      </c>
    </row>
    <row r="52" spans="1:79" x14ac:dyDescent="0.25">
      <c r="A52" t="s">
        <v>320</v>
      </c>
      <c r="B52" t="s">
        <v>167</v>
      </c>
      <c r="C52" t="s">
        <v>387</v>
      </c>
      <c r="D52" t="s">
        <v>388</v>
      </c>
      <c r="E52" s="2">
        <v>7</v>
      </c>
      <c r="F52" s="2">
        <v>8</v>
      </c>
      <c r="G52" t="s">
        <v>390</v>
      </c>
      <c r="H52" t="s">
        <v>384</v>
      </c>
      <c r="I52" t="s">
        <v>414</v>
      </c>
      <c r="J52" t="s">
        <v>392</v>
      </c>
      <c r="K52">
        <v>3500</v>
      </c>
      <c r="L52" t="s">
        <v>378</v>
      </c>
      <c r="M52">
        <v>0</v>
      </c>
      <c r="N52">
        <v>0</v>
      </c>
      <c r="O52">
        <v>0</v>
      </c>
      <c r="P52">
        <v>0</v>
      </c>
      <c r="Q52">
        <v>1</v>
      </c>
      <c r="R52">
        <v>1</v>
      </c>
      <c r="S52">
        <v>0</v>
      </c>
      <c r="T52">
        <v>0.9</v>
      </c>
      <c r="U52">
        <v>0</v>
      </c>
      <c r="V52">
        <v>0</v>
      </c>
      <c r="W52" s="2">
        <v>0.8</v>
      </c>
      <c r="X52">
        <v>1</v>
      </c>
      <c r="Y52">
        <v>105</v>
      </c>
      <c r="Z52">
        <v>105</v>
      </c>
      <c r="AA52">
        <v>0.5</v>
      </c>
      <c r="AB52" t="s">
        <v>374</v>
      </c>
      <c r="AC52">
        <v>0</v>
      </c>
      <c r="AD52">
        <v>0</v>
      </c>
      <c r="AE52">
        <v>0</v>
      </c>
      <c r="AF52" s="2">
        <v>3</v>
      </c>
      <c r="AG52">
        <v>-15</v>
      </c>
      <c r="AH52">
        <v>15</v>
      </c>
      <c r="AI52">
        <v>-30</v>
      </c>
      <c r="AJ52">
        <v>30</v>
      </c>
      <c r="AO52">
        <v>5</v>
      </c>
      <c r="AQ52">
        <v>1</v>
      </c>
      <c r="AR52" s="5" t="s">
        <v>471</v>
      </c>
      <c r="AS52" s="5" t="s">
        <v>472</v>
      </c>
      <c r="AT52" s="5" t="str">
        <f t="shared" si="0"/>
        <v>Number</v>
      </c>
      <c r="AU52" s="5" t="str">
        <f t="shared" si="1"/>
        <v>Number</v>
      </c>
      <c r="AV52" s="5" t="str">
        <f t="shared" si="2"/>
        <v>Diff</v>
      </c>
      <c r="AW52" s="5">
        <v>0.98</v>
      </c>
      <c r="AX52" s="5" t="s">
        <v>473</v>
      </c>
      <c r="AY52" s="5" t="str">
        <f t="shared" si="3"/>
        <v>Number</v>
      </c>
      <c r="AZ52" s="5" t="str">
        <f t="shared" si="4"/>
        <v>Number</v>
      </c>
      <c r="BA52" s="5" t="str">
        <f t="shared" si="5"/>
        <v>Diff</v>
      </c>
      <c r="BB52" s="5">
        <v>0.8</v>
      </c>
      <c r="BD52" s="5">
        <v>1.1000000000000001</v>
      </c>
      <c r="BE52" s="5">
        <v>0.5</v>
      </c>
      <c r="BF52" s="5">
        <v>0.8</v>
      </c>
      <c r="BH52" s="5">
        <v>1</v>
      </c>
      <c r="BI52" s="5">
        <v>0.08</v>
      </c>
      <c r="BJ52" s="5" t="s">
        <v>474</v>
      </c>
      <c r="BK52" s="5" t="str">
        <f t="shared" si="6"/>
        <v>Number</v>
      </c>
      <c r="BL52" s="5" t="str">
        <f t="shared" si="7"/>
        <v>Number</v>
      </c>
      <c r="BM52" s="5" t="str">
        <f t="shared" si="8"/>
        <v>Diff</v>
      </c>
      <c r="BN52" s="5">
        <v>0.20499999999999999</v>
      </c>
      <c r="BO52" s="5" t="s">
        <v>475</v>
      </c>
      <c r="BP52" s="5" t="str">
        <f t="shared" si="9"/>
        <v>Number</v>
      </c>
      <c r="BQ52" s="5" t="str">
        <f t="shared" si="10"/>
        <v>Number</v>
      </c>
      <c r="BR52" s="5" t="str">
        <f t="shared" si="11"/>
        <v>Diff</v>
      </c>
      <c r="BS52" s="5">
        <v>0.6</v>
      </c>
      <c r="BT52" s="5">
        <v>0.6</v>
      </c>
      <c r="BU52" s="5">
        <v>0.6</v>
      </c>
      <c r="BW52" s="5">
        <v>0.5</v>
      </c>
      <c r="BX52" s="5">
        <v>0.6</v>
      </c>
      <c r="CA52" t="str">
        <f>IF(OR(AV52="Diff",BA52="Diff",BM52="Diff",BR52="Diff"),"Diff","")</f>
        <v>Diff</v>
      </c>
    </row>
    <row r="53" spans="1:79" hidden="1" x14ac:dyDescent="0.25">
      <c r="A53" t="s">
        <v>321</v>
      </c>
      <c r="B53" t="s">
        <v>167</v>
      </c>
      <c r="C53" t="s">
        <v>387</v>
      </c>
      <c r="D53" t="s">
        <v>388</v>
      </c>
      <c r="E53" s="2">
        <v>1100</v>
      </c>
      <c r="F53" s="2">
        <v>1100</v>
      </c>
      <c r="G53" t="s">
        <v>390</v>
      </c>
      <c r="H53" t="s">
        <v>384</v>
      </c>
      <c r="I53" t="s">
        <v>391</v>
      </c>
      <c r="J53" t="s">
        <v>392</v>
      </c>
      <c r="K53">
        <v>5000</v>
      </c>
      <c r="L53">
        <v>4500</v>
      </c>
      <c r="M53">
        <v>0</v>
      </c>
      <c r="N53">
        <v>0</v>
      </c>
      <c r="O53">
        <v>0</v>
      </c>
      <c r="P53">
        <v>0</v>
      </c>
      <c r="Q53">
        <v>1</v>
      </c>
      <c r="R53">
        <v>1</v>
      </c>
      <c r="S53">
        <v>1</v>
      </c>
      <c r="T53" s="2">
        <v>3.2</v>
      </c>
      <c r="U53">
        <v>0</v>
      </c>
      <c r="V53">
        <v>0</v>
      </c>
      <c r="W53">
        <v>1</v>
      </c>
      <c r="X53">
        <v>1</v>
      </c>
      <c r="Y53">
        <v>40</v>
      </c>
      <c r="Z53">
        <v>20</v>
      </c>
      <c r="AA53">
        <v>0.1</v>
      </c>
      <c r="AB53" t="s">
        <v>374</v>
      </c>
      <c r="AC53">
        <v>1</v>
      </c>
      <c r="AD53">
        <v>0</v>
      </c>
      <c r="AE53">
        <v>0</v>
      </c>
      <c r="AF53">
        <v>0</v>
      </c>
      <c r="AG53">
        <v>-155</v>
      </c>
      <c r="AH53">
        <v>155</v>
      </c>
      <c r="AI53">
        <v>-11</v>
      </c>
      <c r="AJ53">
        <v>45</v>
      </c>
      <c r="AO53">
        <v>30</v>
      </c>
      <c r="AP53"/>
      <c r="AQ53">
        <v>1</v>
      </c>
      <c r="AT53" s="5" t="str">
        <f t="shared" si="0"/>
        <v>Blank</v>
      </c>
      <c r="AU53" s="5" t="str">
        <f t="shared" si="1"/>
        <v>Blank</v>
      </c>
      <c r="AV53" s="5" t="str">
        <f t="shared" si="2"/>
        <v/>
      </c>
      <c r="AY53" s="5" t="str">
        <f t="shared" si="3"/>
        <v>Blank</v>
      </c>
      <c r="AZ53" s="5" t="str">
        <f t="shared" si="4"/>
        <v>Blank</v>
      </c>
      <c r="BA53" s="5" t="str">
        <f t="shared" si="5"/>
        <v/>
      </c>
      <c r="BB53" s="5">
        <v>0.94</v>
      </c>
      <c r="BC53" s="5">
        <v>1</v>
      </c>
      <c r="BE53" s="5">
        <v>0.45</v>
      </c>
      <c r="BF53" s="5">
        <v>0.3</v>
      </c>
      <c r="BH53" s="5">
        <v>1</v>
      </c>
      <c r="BI53" s="5">
        <v>0.1</v>
      </c>
      <c r="BJ53" s="5">
        <v>0.1</v>
      </c>
      <c r="BK53" s="5" t="str">
        <f t="shared" si="6"/>
        <v>Number</v>
      </c>
      <c r="BL53" s="5" t="str">
        <f t="shared" si="7"/>
        <v>Number</v>
      </c>
      <c r="BM53" s="5" t="str">
        <f t="shared" si="8"/>
        <v/>
      </c>
      <c r="BN53" s="5">
        <v>0.05</v>
      </c>
      <c r="BO53" s="5">
        <v>0.05</v>
      </c>
      <c r="BP53" s="5" t="str">
        <f t="shared" si="9"/>
        <v>Number</v>
      </c>
      <c r="BQ53" s="5" t="str">
        <f t="shared" si="10"/>
        <v>Number</v>
      </c>
      <c r="BR53" s="5" t="str">
        <f t="shared" si="11"/>
        <v/>
      </c>
      <c r="BS53" s="5">
        <v>0.9</v>
      </c>
      <c r="BT53" s="5">
        <v>0.9</v>
      </c>
      <c r="BU53" s="5">
        <v>0.9</v>
      </c>
      <c r="BW53" s="5">
        <v>0.75</v>
      </c>
      <c r="CA53" t="str">
        <f>IF(OR(AV53="Diff",BA53="Diff",BM53="Diff",BR53="Diff"),"Diff","")</f>
        <v/>
      </c>
    </row>
    <row r="54" spans="1:79" hidden="1" x14ac:dyDescent="0.25">
      <c r="A54" t="s">
        <v>322</v>
      </c>
      <c r="B54" t="s">
        <v>167</v>
      </c>
      <c r="C54" t="s">
        <v>387</v>
      </c>
      <c r="D54" t="s">
        <v>388</v>
      </c>
      <c r="E54" s="2">
        <v>2000</v>
      </c>
      <c r="F54" s="2">
        <v>2000</v>
      </c>
      <c r="G54" t="s">
        <v>390</v>
      </c>
      <c r="H54" t="s">
        <v>393</v>
      </c>
      <c r="I54" t="s">
        <v>431</v>
      </c>
      <c r="J54" t="s">
        <v>392</v>
      </c>
      <c r="K54">
        <v>0</v>
      </c>
      <c r="L54">
        <v>4500</v>
      </c>
      <c r="M54">
        <v>0</v>
      </c>
      <c r="N54">
        <v>4</v>
      </c>
      <c r="O54">
        <v>2</v>
      </c>
      <c r="P54">
        <v>0</v>
      </c>
      <c r="Q54">
        <v>20</v>
      </c>
      <c r="R54">
        <v>0</v>
      </c>
      <c r="S54">
        <v>1</v>
      </c>
      <c r="T54" s="2">
        <v>12</v>
      </c>
      <c r="U54">
        <v>0</v>
      </c>
      <c r="V54">
        <v>0</v>
      </c>
      <c r="W54" s="2">
        <v>1</v>
      </c>
      <c r="X54">
        <v>0</v>
      </c>
      <c r="Y54">
        <v>35</v>
      </c>
      <c r="Z54">
        <v>20</v>
      </c>
      <c r="AA54">
        <v>0.1</v>
      </c>
      <c r="AB54" t="s">
        <v>374</v>
      </c>
      <c r="AC54">
        <v>0</v>
      </c>
      <c r="AD54">
        <v>0</v>
      </c>
      <c r="AE54">
        <v>0</v>
      </c>
      <c r="AF54" s="2">
        <v>14</v>
      </c>
      <c r="AG54">
        <v>-180</v>
      </c>
      <c r="AH54">
        <v>6</v>
      </c>
      <c r="AI54">
        <v>-35</v>
      </c>
      <c r="AJ54">
        <v>6</v>
      </c>
      <c r="AK54" t="s">
        <v>387</v>
      </c>
      <c r="AL54" t="s">
        <v>395</v>
      </c>
      <c r="AM54">
        <v>-25</v>
      </c>
      <c r="AN54">
        <v>-25</v>
      </c>
      <c r="AO54" s="2">
        <v>15</v>
      </c>
      <c r="AP54" s="2"/>
      <c r="AQ54">
        <v>1</v>
      </c>
      <c r="AT54" s="5" t="str">
        <f t="shared" si="0"/>
        <v>Blank</v>
      </c>
      <c r="AU54" s="5" t="str">
        <f t="shared" si="1"/>
        <v>Blank</v>
      </c>
      <c r="AV54" s="5" t="str">
        <f t="shared" si="2"/>
        <v/>
      </c>
      <c r="AY54" s="5" t="str">
        <f t="shared" si="3"/>
        <v>Blank</v>
      </c>
      <c r="AZ54" s="5" t="str">
        <f t="shared" si="4"/>
        <v>Blank</v>
      </c>
      <c r="BA54" s="5" t="str">
        <f t="shared" si="5"/>
        <v/>
      </c>
      <c r="BB54" s="5">
        <v>1</v>
      </c>
      <c r="BC54" s="5">
        <v>0.9</v>
      </c>
      <c r="BE54" s="5">
        <v>0.2</v>
      </c>
      <c r="BF54" s="5">
        <v>0.3</v>
      </c>
      <c r="BH54" s="5">
        <v>1</v>
      </c>
      <c r="BI54" s="5">
        <v>0.08</v>
      </c>
      <c r="BJ54" s="5">
        <v>0.08</v>
      </c>
      <c r="BK54" s="5" t="str">
        <f t="shared" si="6"/>
        <v>Number</v>
      </c>
      <c r="BL54" s="5" t="str">
        <f t="shared" si="7"/>
        <v>Number</v>
      </c>
      <c r="BM54" s="5" t="str">
        <f t="shared" si="8"/>
        <v/>
      </c>
      <c r="BN54" s="5">
        <v>0.04</v>
      </c>
      <c r="BO54" s="5">
        <v>0.04</v>
      </c>
      <c r="BP54" s="5" t="str">
        <f t="shared" si="9"/>
        <v>Number</v>
      </c>
      <c r="BQ54" s="5" t="str">
        <f t="shared" si="10"/>
        <v>Number</v>
      </c>
      <c r="BR54" s="5" t="str">
        <f t="shared" si="11"/>
        <v/>
      </c>
      <c r="BS54" s="5">
        <v>1</v>
      </c>
      <c r="BT54" s="5">
        <v>0.8</v>
      </c>
      <c r="BU54" s="5">
        <v>0.8</v>
      </c>
      <c r="CA54" t="str">
        <f>IF(OR(AV54="Diff",BA54="Diff",BM54="Diff",BR54="Diff"),"Diff","")</f>
        <v/>
      </c>
    </row>
    <row r="55" spans="1:79" hidden="1" x14ac:dyDescent="0.25">
      <c r="A55" t="s">
        <v>323</v>
      </c>
      <c r="B55" t="s">
        <v>167</v>
      </c>
      <c r="C55" t="s">
        <v>387</v>
      </c>
      <c r="D55" t="s">
        <v>388</v>
      </c>
      <c r="E55" s="2">
        <v>2000</v>
      </c>
      <c r="F55" s="2">
        <v>2000</v>
      </c>
      <c r="G55" t="s">
        <v>390</v>
      </c>
      <c r="H55" t="s">
        <v>393</v>
      </c>
      <c r="I55" t="s">
        <v>431</v>
      </c>
      <c r="J55" t="s">
        <v>392</v>
      </c>
      <c r="K55">
        <v>0</v>
      </c>
      <c r="L55">
        <v>4500</v>
      </c>
      <c r="M55">
        <v>0</v>
      </c>
      <c r="N55">
        <v>4</v>
      </c>
      <c r="O55">
        <v>2</v>
      </c>
      <c r="P55">
        <v>0</v>
      </c>
      <c r="Q55">
        <v>20</v>
      </c>
      <c r="R55">
        <v>0</v>
      </c>
      <c r="S55">
        <v>1</v>
      </c>
      <c r="T55" s="2">
        <v>12</v>
      </c>
      <c r="U55">
        <v>0</v>
      </c>
      <c r="V55">
        <v>0</v>
      </c>
      <c r="W55" s="2">
        <v>1</v>
      </c>
      <c r="X55">
        <v>0</v>
      </c>
      <c r="Y55">
        <v>35</v>
      </c>
      <c r="Z55">
        <v>20</v>
      </c>
      <c r="AA55">
        <v>0.1</v>
      </c>
      <c r="AB55" t="s">
        <v>374</v>
      </c>
      <c r="AC55">
        <v>0</v>
      </c>
      <c r="AD55">
        <v>0</v>
      </c>
      <c r="AE55">
        <v>0</v>
      </c>
      <c r="AF55" s="2">
        <v>14</v>
      </c>
      <c r="AG55">
        <v>-6</v>
      </c>
      <c r="AH55">
        <v>180</v>
      </c>
      <c r="AI55">
        <v>-35</v>
      </c>
      <c r="AJ55">
        <v>6</v>
      </c>
      <c r="AK55" t="s">
        <v>387</v>
      </c>
      <c r="AL55" t="s">
        <v>395</v>
      </c>
      <c r="AM55">
        <v>-25</v>
      </c>
      <c r="AN55">
        <v>-25</v>
      </c>
      <c r="AO55" s="2">
        <v>15</v>
      </c>
      <c r="AP55" s="2"/>
      <c r="AQ55">
        <v>1</v>
      </c>
      <c r="AT55" s="5" t="str">
        <f t="shared" si="0"/>
        <v>Blank</v>
      </c>
      <c r="AU55" s="5" t="str">
        <f t="shared" si="1"/>
        <v>Blank</v>
      </c>
      <c r="AV55" s="5" t="str">
        <f t="shared" si="2"/>
        <v/>
      </c>
      <c r="AY55" s="5" t="str">
        <f t="shared" si="3"/>
        <v>Blank</v>
      </c>
      <c r="AZ55" s="5" t="str">
        <f t="shared" si="4"/>
        <v>Blank</v>
      </c>
      <c r="BA55" s="5" t="str">
        <f t="shared" si="5"/>
        <v/>
      </c>
      <c r="BB55" s="5">
        <v>1</v>
      </c>
      <c r="BC55" s="5">
        <v>0.9</v>
      </c>
      <c r="BE55" s="5">
        <v>0.2</v>
      </c>
      <c r="BF55" s="5">
        <v>0.3</v>
      </c>
      <c r="BH55" s="5">
        <v>1</v>
      </c>
      <c r="BI55" s="5">
        <v>0.08</v>
      </c>
      <c r="BJ55" s="5">
        <v>0.08</v>
      </c>
      <c r="BK55" s="5" t="str">
        <f t="shared" si="6"/>
        <v>Number</v>
      </c>
      <c r="BL55" s="5" t="str">
        <f t="shared" si="7"/>
        <v>Number</v>
      </c>
      <c r="BM55" s="5" t="str">
        <f t="shared" si="8"/>
        <v/>
      </c>
      <c r="BN55" s="5">
        <v>0.04</v>
      </c>
      <c r="BO55" s="5">
        <v>0.04</v>
      </c>
      <c r="BP55" s="5" t="str">
        <f t="shared" si="9"/>
        <v>Number</v>
      </c>
      <c r="BQ55" s="5" t="str">
        <f t="shared" si="10"/>
        <v>Number</v>
      </c>
      <c r="BR55" s="5" t="str">
        <f t="shared" si="11"/>
        <v/>
      </c>
      <c r="BS55" s="5">
        <v>1</v>
      </c>
      <c r="BT55" s="5">
        <v>0.8</v>
      </c>
      <c r="BU55" s="5">
        <v>0.8</v>
      </c>
      <c r="CA55" t="str">
        <f>IF(OR(AV55="Diff",BA55="Diff",BM55="Diff",BR55="Diff"),"Diff","")</f>
        <v/>
      </c>
    </row>
    <row r="56" spans="1:79" x14ac:dyDescent="0.25">
      <c r="A56" t="s">
        <v>324</v>
      </c>
      <c r="B56" t="s">
        <v>167</v>
      </c>
      <c r="C56" t="s">
        <v>387</v>
      </c>
      <c r="D56" t="s">
        <v>388</v>
      </c>
      <c r="E56" s="2">
        <v>130</v>
      </c>
      <c r="F56" s="2">
        <v>130</v>
      </c>
      <c r="G56" t="s">
        <v>396</v>
      </c>
      <c r="H56" t="s">
        <v>397</v>
      </c>
      <c r="I56" t="s">
        <v>432</v>
      </c>
      <c r="J56" t="s">
        <v>392</v>
      </c>
      <c r="K56">
        <v>350</v>
      </c>
      <c r="L56">
        <v>4500</v>
      </c>
      <c r="M56">
        <v>0</v>
      </c>
      <c r="N56">
        <v>0</v>
      </c>
      <c r="O56">
        <v>0</v>
      </c>
      <c r="P56">
        <v>0</v>
      </c>
      <c r="Q56">
        <v>1</v>
      </c>
      <c r="R56">
        <v>0</v>
      </c>
      <c r="S56">
        <v>1</v>
      </c>
      <c r="T56" s="2">
        <v>2.75</v>
      </c>
      <c r="U56">
        <v>0</v>
      </c>
      <c r="V56">
        <v>0</v>
      </c>
      <c r="W56">
        <v>1</v>
      </c>
      <c r="X56">
        <v>0</v>
      </c>
      <c r="Y56">
        <v>0</v>
      </c>
      <c r="Z56">
        <v>0</v>
      </c>
      <c r="AA56">
        <v>0.1</v>
      </c>
      <c r="AB56" t="s">
        <v>374</v>
      </c>
      <c r="AC56">
        <v>0</v>
      </c>
      <c r="AD56">
        <v>0</v>
      </c>
      <c r="AE56">
        <v>0</v>
      </c>
      <c r="AF56" s="2">
        <v>120</v>
      </c>
      <c r="AG56">
        <v>0</v>
      </c>
      <c r="AH56">
        <v>0</v>
      </c>
      <c r="AI56">
        <v>0</v>
      </c>
      <c r="AJ56">
        <v>0</v>
      </c>
      <c r="AO56" s="2">
        <v>15</v>
      </c>
      <c r="AQ56">
        <v>0.5</v>
      </c>
      <c r="AR56" s="5">
        <v>0.24</v>
      </c>
      <c r="AS56" s="5">
        <v>1.25</v>
      </c>
      <c r="AT56" s="5" t="str">
        <f t="shared" si="0"/>
        <v>Number</v>
      </c>
      <c r="AU56" s="5" t="str">
        <f t="shared" si="1"/>
        <v>Number</v>
      </c>
      <c r="AV56" s="5" t="str">
        <f t="shared" si="2"/>
        <v>Diff</v>
      </c>
      <c r="AW56" s="5">
        <v>1.25</v>
      </c>
      <c r="AX56" s="5">
        <v>2.5</v>
      </c>
      <c r="AY56" s="5" t="str">
        <f t="shared" si="3"/>
        <v>Number</v>
      </c>
      <c r="AZ56" s="5" t="str">
        <f t="shared" si="4"/>
        <v>Number</v>
      </c>
      <c r="BA56" s="5" t="str">
        <f t="shared" si="5"/>
        <v>Diff</v>
      </c>
      <c r="BB56" s="5">
        <v>0.98</v>
      </c>
      <c r="BC56" s="5">
        <v>1.25</v>
      </c>
      <c r="BD56" s="5">
        <v>0.74</v>
      </c>
      <c r="BE56" s="5">
        <v>0.76</v>
      </c>
      <c r="BG56" s="5">
        <v>1</v>
      </c>
      <c r="BH56" s="5">
        <v>1</v>
      </c>
      <c r="BI56" s="5">
        <v>1</v>
      </c>
      <c r="BJ56" s="5">
        <v>1</v>
      </c>
      <c r="BK56" s="5" t="str">
        <f t="shared" si="6"/>
        <v>Number</v>
      </c>
      <c r="BL56" s="5" t="str">
        <f t="shared" si="7"/>
        <v>Number</v>
      </c>
      <c r="BM56" s="5" t="str">
        <f t="shared" si="8"/>
        <v/>
      </c>
      <c r="BN56" s="5">
        <v>1</v>
      </c>
      <c r="BO56" s="5">
        <v>1</v>
      </c>
      <c r="BP56" s="5" t="str">
        <f t="shared" si="9"/>
        <v>Number</v>
      </c>
      <c r="BQ56" s="5" t="str">
        <f t="shared" si="10"/>
        <v>Number</v>
      </c>
      <c r="BR56" s="5" t="str">
        <f t="shared" si="11"/>
        <v/>
      </c>
      <c r="CA56" t="str">
        <f>IF(OR(AV56="Diff",BA56="Diff",BM56="Diff",BR56="Diff"),"Diff","")</f>
        <v>Diff</v>
      </c>
    </row>
    <row r="57" spans="1:79" x14ac:dyDescent="0.25">
      <c r="A57" t="s">
        <v>325</v>
      </c>
      <c r="B57" t="s">
        <v>167</v>
      </c>
      <c r="C57" t="s">
        <v>387</v>
      </c>
      <c r="D57" t="s">
        <v>388</v>
      </c>
      <c r="E57" s="2">
        <v>260</v>
      </c>
      <c r="F57" s="2">
        <v>260</v>
      </c>
      <c r="G57" t="s">
        <v>396</v>
      </c>
      <c r="H57" t="s">
        <v>397</v>
      </c>
      <c r="I57" t="s">
        <v>433</v>
      </c>
      <c r="J57" t="s">
        <v>386</v>
      </c>
      <c r="K57">
        <v>675</v>
      </c>
      <c r="L57">
        <v>4500</v>
      </c>
      <c r="M57">
        <v>0</v>
      </c>
      <c r="N57">
        <v>0</v>
      </c>
      <c r="O57">
        <v>0</v>
      </c>
      <c r="P57">
        <v>0</v>
      </c>
      <c r="Q57">
        <v>1</v>
      </c>
      <c r="R57">
        <v>0</v>
      </c>
      <c r="S57">
        <v>1</v>
      </c>
      <c r="T57" s="2">
        <v>30</v>
      </c>
      <c r="U57">
        <v>0</v>
      </c>
      <c r="V57">
        <v>0</v>
      </c>
      <c r="W57">
        <v>1</v>
      </c>
      <c r="X57">
        <v>0</v>
      </c>
      <c r="Y57">
        <v>0</v>
      </c>
      <c r="Z57">
        <v>0</v>
      </c>
      <c r="AA57">
        <v>0.1</v>
      </c>
      <c r="AB57" t="s">
        <v>374</v>
      </c>
      <c r="AC57">
        <v>0</v>
      </c>
      <c r="AD57">
        <v>0</v>
      </c>
      <c r="AE57">
        <v>0</v>
      </c>
      <c r="AF57">
        <v>120</v>
      </c>
      <c r="AG57">
        <v>0</v>
      </c>
      <c r="AH57">
        <v>0</v>
      </c>
      <c r="AI57">
        <v>0</v>
      </c>
      <c r="AJ57">
        <v>0</v>
      </c>
      <c r="AO57" s="2">
        <v>25</v>
      </c>
      <c r="AQ57">
        <v>0.5</v>
      </c>
      <c r="AR57" s="5">
        <v>0.24</v>
      </c>
      <c r="AS57" s="5">
        <v>1.25</v>
      </c>
      <c r="AT57" s="5" t="str">
        <f t="shared" si="0"/>
        <v>Number</v>
      </c>
      <c r="AU57" s="5" t="str">
        <f t="shared" si="1"/>
        <v>Number</v>
      </c>
      <c r="AV57" s="5" t="str">
        <f t="shared" si="2"/>
        <v>Diff</v>
      </c>
      <c r="AW57" s="5">
        <v>0.82</v>
      </c>
      <c r="AX57" s="5">
        <v>2.5</v>
      </c>
      <c r="AY57" s="5" t="str">
        <f t="shared" si="3"/>
        <v>Number</v>
      </c>
      <c r="AZ57" s="5" t="str">
        <f t="shared" si="4"/>
        <v>Number</v>
      </c>
      <c r="BA57" s="5" t="str">
        <f t="shared" si="5"/>
        <v>Diff</v>
      </c>
      <c r="BB57" s="5">
        <v>0.98</v>
      </c>
      <c r="BC57" s="5">
        <v>1</v>
      </c>
      <c r="BD57" s="5">
        <v>0.32</v>
      </c>
      <c r="BE57" s="5">
        <v>0.32</v>
      </c>
      <c r="BG57" s="5">
        <v>1</v>
      </c>
      <c r="BH57" s="5">
        <v>1</v>
      </c>
      <c r="BI57" s="5">
        <v>1</v>
      </c>
      <c r="BJ57" s="5">
        <v>1</v>
      </c>
      <c r="BK57" s="5" t="str">
        <f t="shared" si="6"/>
        <v>Number</v>
      </c>
      <c r="BL57" s="5" t="str">
        <f t="shared" si="7"/>
        <v>Number</v>
      </c>
      <c r="BM57" s="5" t="str">
        <f t="shared" si="8"/>
        <v/>
      </c>
      <c r="BN57" s="5">
        <v>1</v>
      </c>
      <c r="BO57" s="5">
        <v>1</v>
      </c>
      <c r="BP57" s="5" t="str">
        <f t="shared" si="9"/>
        <v>Number</v>
      </c>
      <c r="BQ57" s="5" t="str">
        <f t="shared" si="10"/>
        <v>Number</v>
      </c>
      <c r="BR57" s="5" t="str">
        <f t="shared" si="11"/>
        <v/>
      </c>
      <c r="CA57" t="str">
        <f>IF(OR(AV57="Diff",BA57="Diff",BM57="Diff",BR57="Diff"),"Diff","")</f>
        <v>Diff</v>
      </c>
    </row>
    <row r="58" spans="1:79" x14ac:dyDescent="0.25">
      <c r="A58" t="s">
        <v>326</v>
      </c>
      <c r="B58" t="s">
        <v>167</v>
      </c>
      <c r="C58" t="s">
        <v>387</v>
      </c>
      <c r="D58" t="s">
        <v>388</v>
      </c>
      <c r="E58" s="2">
        <v>25.5</v>
      </c>
      <c r="F58" s="2">
        <v>25.5</v>
      </c>
      <c r="G58" t="s">
        <v>390</v>
      </c>
      <c r="H58" t="s">
        <v>384</v>
      </c>
      <c r="I58" s="2" t="s">
        <v>429</v>
      </c>
      <c r="J58" t="s">
        <v>392</v>
      </c>
      <c r="K58">
        <v>2000</v>
      </c>
      <c r="L58">
        <v>2650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0</v>
      </c>
      <c r="T58">
        <v>1</v>
      </c>
      <c r="U58">
        <v>0</v>
      </c>
      <c r="V58">
        <v>0</v>
      </c>
      <c r="W58">
        <v>1</v>
      </c>
      <c r="X58">
        <v>1</v>
      </c>
      <c r="Y58">
        <v>125</v>
      </c>
      <c r="Z58">
        <v>125</v>
      </c>
      <c r="AA58">
        <v>0.1</v>
      </c>
      <c r="AB58" t="s">
        <v>374</v>
      </c>
      <c r="AC58">
        <v>0</v>
      </c>
      <c r="AD58">
        <v>0</v>
      </c>
      <c r="AE58">
        <v>0</v>
      </c>
      <c r="AF58">
        <v>0</v>
      </c>
      <c r="AG58">
        <v>-179</v>
      </c>
      <c r="AH58">
        <v>179</v>
      </c>
      <c r="AI58">
        <v>-89</v>
      </c>
      <c r="AJ58">
        <v>89</v>
      </c>
      <c r="AO58">
        <v>5</v>
      </c>
      <c r="AQ58">
        <v>1</v>
      </c>
      <c r="AT58" s="5" t="str">
        <f t="shared" si="0"/>
        <v>Blank</v>
      </c>
      <c r="AU58" s="5" t="str">
        <f t="shared" si="1"/>
        <v>Blank</v>
      </c>
      <c r="AV58" s="5" t="str">
        <f t="shared" si="2"/>
        <v/>
      </c>
      <c r="AW58" s="5">
        <v>1.25</v>
      </c>
      <c r="AX58" s="5">
        <v>2.5</v>
      </c>
      <c r="AY58" s="5" t="str">
        <f t="shared" si="3"/>
        <v>Number</v>
      </c>
      <c r="AZ58" s="5" t="str">
        <f t="shared" si="4"/>
        <v>Number</v>
      </c>
      <c r="BA58" s="5" t="str">
        <f t="shared" si="5"/>
        <v>Diff</v>
      </c>
      <c r="BB58" s="5">
        <v>1</v>
      </c>
      <c r="BC58" s="5">
        <v>0.88</v>
      </c>
      <c r="BE58" s="5">
        <v>0.42</v>
      </c>
      <c r="BH58" s="5">
        <v>1</v>
      </c>
      <c r="BI58" s="5">
        <v>0.11799999999999999</v>
      </c>
      <c r="BJ58" s="5" t="s">
        <v>470</v>
      </c>
      <c r="BK58" s="5" t="str">
        <f t="shared" si="6"/>
        <v>Number</v>
      </c>
      <c r="BL58" s="5" t="str">
        <f t="shared" si="7"/>
        <v>Number</v>
      </c>
      <c r="BM58" s="5" t="str">
        <f t="shared" si="8"/>
        <v>Diff</v>
      </c>
      <c r="BN58" s="5">
        <v>0.3</v>
      </c>
      <c r="BO58" s="5">
        <v>0.6</v>
      </c>
      <c r="BP58" s="5" t="str">
        <f t="shared" si="9"/>
        <v>Number</v>
      </c>
      <c r="BQ58" s="5" t="str">
        <f t="shared" si="10"/>
        <v>Number</v>
      </c>
      <c r="BR58" s="5" t="str">
        <f t="shared" si="11"/>
        <v>Diff</v>
      </c>
      <c r="BS58" s="5">
        <v>0.7</v>
      </c>
      <c r="BT58" s="5">
        <v>0.55000000000000004</v>
      </c>
      <c r="BU58" s="5">
        <v>0.55000000000000004</v>
      </c>
      <c r="BX58" s="5">
        <v>0.78</v>
      </c>
      <c r="CA58" t="str">
        <f>IF(OR(AV58="Diff",BA58="Diff",BM58="Diff",BR58="Diff"),"Diff","")</f>
        <v>Diff</v>
      </c>
    </row>
    <row r="59" spans="1:79" hidden="1" x14ac:dyDescent="0.25">
      <c r="A59" t="s">
        <v>327</v>
      </c>
      <c r="B59" t="s">
        <v>167</v>
      </c>
      <c r="C59" t="s">
        <v>387</v>
      </c>
      <c r="D59" t="s">
        <v>388</v>
      </c>
      <c r="E59">
        <v>2000</v>
      </c>
      <c r="F59">
        <v>2000</v>
      </c>
      <c r="G59" t="s">
        <v>383</v>
      </c>
      <c r="H59" t="s">
        <v>384</v>
      </c>
      <c r="I59" t="s">
        <v>414</v>
      </c>
      <c r="J59" t="s">
        <v>392</v>
      </c>
      <c r="K59">
        <v>20000</v>
      </c>
      <c r="L59">
        <v>2400</v>
      </c>
      <c r="M59">
        <v>0</v>
      </c>
      <c r="N59">
        <v>0</v>
      </c>
      <c r="O59">
        <v>0</v>
      </c>
      <c r="P59">
        <v>0</v>
      </c>
      <c r="Q59">
        <v>1</v>
      </c>
      <c r="R59">
        <v>0</v>
      </c>
      <c r="S59">
        <v>0</v>
      </c>
      <c r="T59">
        <v>15</v>
      </c>
      <c r="U59">
        <v>0</v>
      </c>
      <c r="V59">
        <v>0</v>
      </c>
      <c r="W59">
        <v>1</v>
      </c>
      <c r="X59">
        <v>1</v>
      </c>
      <c r="Y59">
        <v>0</v>
      </c>
      <c r="Z59">
        <v>0</v>
      </c>
      <c r="AA59">
        <v>0.1</v>
      </c>
      <c r="AB59" t="s">
        <v>451</v>
      </c>
      <c r="AC59">
        <v>0</v>
      </c>
      <c r="AD59">
        <v>0</v>
      </c>
      <c r="AE59">
        <v>0</v>
      </c>
      <c r="AF59">
        <v>45</v>
      </c>
      <c r="AG59">
        <v>0</v>
      </c>
      <c r="AH59">
        <v>0</v>
      </c>
      <c r="AI59">
        <v>0</v>
      </c>
      <c r="AJ59">
        <v>0</v>
      </c>
      <c r="AO59">
        <v>0</v>
      </c>
      <c r="AP59"/>
      <c r="AQ59">
        <v>0</v>
      </c>
      <c r="AT59" s="5" t="str">
        <f t="shared" si="0"/>
        <v>Blank</v>
      </c>
      <c r="AU59" s="5" t="str">
        <f t="shared" si="1"/>
        <v>Blank</v>
      </c>
      <c r="AV59" s="5" t="str">
        <f t="shared" si="2"/>
        <v/>
      </c>
      <c r="AY59" s="5" t="str">
        <f t="shared" si="3"/>
        <v>Blank</v>
      </c>
      <c r="AZ59" s="5" t="str">
        <f t="shared" si="4"/>
        <v>Blank</v>
      </c>
      <c r="BA59" s="5" t="str">
        <f t="shared" si="5"/>
        <v/>
      </c>
      <c r="BH59" s="5">
        <v>1</v>
      </c>
      <c r="BK59" s="5" t="str">
        <f t="shared" si="6"/>
        <v>Blank</v>
      </c>
      <c r="BL59" s="5" t="str">
        <f t="shared" si="7"/>
        <v>Blank</v>
      </c>
      <c r="BM59" s="5" t="str">
        <f t="shared" si="8"/>
        <v/>
      </c>
      <c r="BP59" s="5" t="str">
        <f t="shared" si="9"/>
        <v>Blank</v>
      </c>
      <c r="BQ59" s="5" t="str">
        <f t="shared" si="10"/>
        <v>Blank</v>
      </c>
      <c r="BR59" s="5" t="str">
        <f t="shared" si="11"/>
        <v/>
      </c>
      <c r="CA59" t="str">
        <f>IF(OR(AV59="Diff",BA59="Diff",BM59="Diff",BR59="Diff"),"Diff","")</f>
        <v/>
      </c>
    </row>
    <row r="60" spans="1:79" hidden="1" x14ac:dyDescent="0.25">
      <c r="A60" t="s">
        <v>330</v>
      </c>
      <c r="B60" t="s">
        <v>167</v>
      </c>
      <c r="C60" t="s">
        <v>387</v>
      </c>
      <c r="D60" t="s">
        <v>409</v>
      </c>
      <c r="E60">
        <v>0</v>
      </c>
      <c r="F60">
        <v>0</v>
      </c>
      <c r="G60" t="s">
        <v>390</v>
      </c>
      <c r="H60" t="s">
        <v>384</v>
      </c>
      <c r="I60" t="s">
        <v>408</v>
      </c>
      <c r="J60" t="s">
        <v>386</v>
      </c>
      <c r="K60" s="2">
        <v>1000</v>
      </c>
      <c r="L60" t="s">
        <v>379</v>
      </c>
      <c r="M60">
        <v>0</v>
      </c>
      <c r="N60">
        <v>0</v>
      </c>
      <c r="O60">
        <v>0</v>
      </c>
      <c r="P60">
        <v>0</v>
      </c>
      <c r="Q60">
        <v>1</v>
      </c>
      <c r="R60">
        <v>1</v>
      </c>
      <c r="S60">
        <v>0</v>
      </c>
      <c r="T60">
        <v>37</v>
      </c>
      <c r="U60">
        <v>0</v>
      </c>
      <c r="V60">
        <v>0</v>
      </c>
      <c r="W60">
        <v>0</v>
      </c>
      <c r="X60">
        <v>0</v>
      </c>
      <c r="Y60">
        <v>50</v>
      </c>
      <c r="Z60">
        <v>50</v>
      </c>
      <c r="AA60">
        <v>0.1</v>
      </c>
      <c r="AB60" t="s">
        <v>374</v>
      </c>
      <c r="AC60">
        <v>0</v>
      </c>
      <c r="AD60">
        <v>0</v>
      </c>
      <c r="AE60">
        <v>0</v>
      </c>
      <c r="AF60">
        <v>0</v>
      </c>
      <c r="AG60">
        <v>-45</v>
      </c>
      <c r="AH60">
        <v>145</v>
      </c>
      <c r="AI60">
        <v>-10</v>
      </c>
      <c r="AJ60">
        <v>30</v>
      </c>
      <c r="AK60" t="s">
        <v>410</v>
      </c>
      <c r="AL60" t="s">
        <v>409</v>
      </c>
      <c r="AM60">
        <v>0</v>
      </c>
      <c r="AN60">
        <v>0</v>
      </c>
      <c r="AO60">
        <v>5</v>
      </c>
      <c r="AP60"/>
      <c r="AQ60">
        <v>1</v>
      </c>
      <c r="AR60" s="5">
        <v>0.75</v>
      </c>
      <c r="AS60" s="5">
        <v>0.75</v>
      </c>
      <c r="AT60" s="5" t="str">
        <f t="shared" si="0"/>
        <v>Number</v>
      </c>
      <c r="AU60" s="5" t="str">
        <f t="shared" si="1"/>
        <v>Number</v>
      </c>
      <c r="AV60" s="5" t="str">
        <f t="shared" si="2"/>
        <v/>
      </c>
      <c r="AW60" s="5">
        <v>0.75</v>
      </c>
      <c r="AX60" s="5">
        <v>0.75</v>
      </c>
      <c r="AY60" s="5" t="str">
        <f t="shared" si="3"/>
        <v>Number</v>
      </c>
      <c r="AZ60" s="5" t="str">
        <f t="shared" si="4"/>
        <v>Number</v>
      </c>
      <c r="BA60" s="5" t="str">
        <f t="shared" si="5"/>
        <v/>
      </c>
      <c r="BB60" s="5">
        <v>0.88</v>
      </c>
      <c r="BC60" s="5">
        <v>1.1299999999999999</v>
      </c>
      <c r="BD60" s="5">
        <v>0.4</v>
      </c>
      <c r="BE60" s="5">
        <v>0.12</v>
      </c>
      <c r="BF60" s="5">
        <v>0.35</v>
      </c>
      <c r="BH60" s="5">
        <v>1</v>
      </c>
      <c r="BI60" s="5">
        <v>1.4999999999999999E-2</v>
      </c>
      <c r="BJ60" s="5">
        <v>1.4999999999999999E-2</v>
      </c>
      <c r="BK60" s="5" t="str">
        <f t="shared" si="6"/>
        <v>Number</v>
      </c>
      <c r="BL60" s="5" t="str">
        <f t="shared" si="7"/>
        <v>Number</v>
      </c>
      <c r="BM60" s="5" t="str">
        <f t="shared" si="8"/>
        <v/>
      </c>
      <c r="BN60" s="5">
        <v>1.4999999999999999E-2</v>
      </c>
      <c r="BO60" s="5">
        <v>1.4999999999999999E-2</v>
      </c>
      <c r="BP60" s="5" t="str">
        <f t="shared" si="9"/>
        <v>Number</v>
      </c>
      <c r="BQ60" s="5" t="str">
        <f t="shared" si="10"/>
        <v>Number</v>
      </c>
      <c r="BR60" s="5" t="str">
        <f t="shared" si="11"/>
        <v/>
      </c>
      <c r="BS60" s="5">
        <v>0.78</v>
      </c>
      <c r="BT60" s="5">
        <v>0.68</v>
      </c>
      <c r="BU60" s="5">
        <v>0.68</v>
      </c>
      <c r="BX60" s="5">
        <v>0.5</v>
      </c>
      <c r="CA60" t="str">
        <f>IF(OR(AV60="Diff",BA60="Diff",BM60="Diff",BR60="Diff"),"Diff","")</f>
        <v/>
      </c>
    </row>
    <row r="61" spans="1:79" hidden="1" x14ac:dyDescent="0.25">
      <c r="A61" t="s">
        <v>331</v>
      </c>
      <c r="B61" t="s">
        <v>167</v>
      </c>
      <c r="C61" t="s">
        <v>387</v>
      </c>
      <c r="D61" t="s">
        <v>409</v>
      </c>
      <c r="E61">
        <v>0</v>
      </c>
      <c r="F61">
        <v>0</v>
      </c>
      <c r="G61" t="s">
        <v>390</v>
      </c>
      <c r="H61" t="s">
        <v>384</v>
      </c>
      <c r="I61" t="s">
        <v>408</v>
      </c>
      <c r="J61" t="s">
        <v>386</v>
      </c>
      <c r="K61" s="2">
        <v>1000</v>
      </c>
      <c r="L61" t="s">
        <v>379</v>
      </c>
      <c r="M61">
        <v>0</v>
      </c>
      <c r="N61">
        <v>0</v>
      </c>
      <c r="O61">
        <v>0</v>
      </c>
      <c r="P61">
        <v>0</v>
      </c>
      <c r="Q61">
        <v>1</v>
      </c>
      <c r="R61">
        <v>1</v>
      </c>
      <c r="S61">
        <v>0</v>
      </c>
      <c r="T61">
        <v>37</v>
      </c>
      <c r="U61">
        <v>0</v>
      </c>
      <c r="V61">
        <v>0</v>
      </c>
      <c r="W61">
        <v>0</v>
      </c>
      <c r="X61">
        <v>0</v>
      </c>
      <c r="Y61">
        <v>50</v>
      </c>
      <c r="Z61">
        <v>50</v>
      </c>
      <c r="AA61">
        <v>0.1</v>
      </c>
      <c r="AB61" t="s">
        <v>374</v>
      </c>
      <c r="AC61">
        <v>0</v>
      </c>
      <c r="AD61">
        <v>0</v>
      </c>
      <c r="AE61">
        <v>0</v>
      </c>
      <c r="AF61">
        <v>0</v>
      </c>
      <c r="AG61">
        <v>-145</v>
      </c>
      <c r="AH61">
        <v>45</v>
      </c>
      <c r="AI61">
        <v>-10</v>
      </c>
      <c r="AJ61">
        <v>30</v>
      </c>
      <c r="AK61" t="s">
        <v>410</v>
      </c>
      <c r="AL61" t="s">
        <v>409</v>
      </c>
      <c r="AM61">
        <v>0</v>
      </c>
      <c r="AN61">
        <v>0</v>
      </c>
      <c r="AO61">
        <v>5</v>
      </c>
      <c r="AP61"/>
      <c r="AQ61">
        <v>1</v>
      </c>
      <c r="AR61" s="5">
        <v>0.75</v>
      </c>
      <c r="AS61" s="5">
        <v>0.75</v>
      </c>
      <c r="AT61" s="5" t="str">
        <f t="shared" si="0"/>
        <v>Number</v>
      </c>
      <c r="AU61" s="5" t="str">
        <f t="shared" si="1"/>
        <v>Number</v>
      </c>
      <c r="AV61" s="5" t="str">
        <f t="shared" si="2"/>
        <v/>
      </c>
      <c r="AW61" s="5">
        <v>0.75</v>
      </c>
      <c r="AX61" s="5">
        <v>0.75</v>
      </c>
      <c r="AY61" s="5" t="str">
        <f t="shared" si="3"/>
        <v>Number</v>
      </c>
      <c r="AZ61" s="5" t="str">
        <f t="shared" si="4"/>
        <v>Number</v>
      </c>
      <c r="BA61" s="5" t="str">
        <f t="shared" si="5"/>
        <v/>
      </c>
      <c r="BB61" s="5">
        <v>0.88</v>
      </c>
      <c r="BC61" s="5">
        <v>1.1299999999999999</v>
      </c>
      <c r="BD61" s="5">
        <v>0.4</v>
      </c>
      <c r="BE61" s="5">
        <v>0.12</v>
      </c>
      <c r="BF61" s="5">
        <v>0.35</v>
      </c>
      <c r="BH61" s="5">
        <v>1</v>
      </c>
      <c r="BI61" s="5">
        <v>1.4999999999999999E-2</v>
      </c>
      <c r="BJ61" s="5">
        <v>1.4999999999999999E-2</v>
      </c>
      <c r="BK61" s="5" t="str">
        <f t="shared" si="6"/>
        <v>Number</v>
      </c>
      <c r="BL61" s="5" t="str">
        <f t="shared" si="7"/>
        <v>Number</v>
      </c>
      <c r="BM61" s="5" t="str">
        <f t="shared" si="8"/>
        <v/>
      </c>
      <c r="BN61" s="5">
        <v>1.4999999999999999E-2</v>
      </c>
      <c r="BO61" s="5">
        <v>1.4999999999999999E-2</v>
      </c>
      <c r="BP61" s="5" t="str">
        <f t="shared" si="9"/>
        <v>Number</v>
      </c>
      <c r="BQ61" s="5" t="str">
        <f t="shared" si="10"/>
        <v>Number</v>
      </c>
      <c r="BR61" s="5" t="str">
        <f t="shared" si="11"/>
        <v/>
      </c>
      <c r="BS61" s="5">
        <v>0.78</v>
      </c>
      <c r="BT61" s="5">
        <v>0.68</v>
      </c>
      <c r="BU61" s="5">
        <v>0.68</v>
      </c>
      <c r="BX61" s="5">
        <v>0.5</v>
      </c>
      <c r="CA61" t="str">
        <f>IF(OR(AV61="Diff",BA61="Diff",BM61="Diff",BR61="Diff"),"Diff","")</f>
        <v/>
      </c>
    </row>
    <row r="62" spans="1:79" x14ac:dyDescent="0.25">
      <c r="A62" t="s">
        <v>332</v>
      </c>
      <c r="B62" t="s">
        <v>167</v>
      </c>
      <c r="C62" t="s">
        <v>387</v>
      </c>
      <c r="D62" t="s">
        <v>388</v>
      </c>
      <c r="E62" s="2">
        <v>62</v>
      </c>
      <c r="F62" s="2">
        <v>78</v>
      </c>
      <c r="G62" t="s">
        <v>396</v>
      </c>
      <c r="H62" t="s">
        <v>400</v>
      </c>
      <c r="I62" t="s">
        <v>401</v>
      </c>
      <c r="J62" t="s">
        <v>392</v>
      </c>
      <c r="K62">
        <v>0</v>
      </c>
      <c r="L62">
        <v>0</v>
      </c>
      <c r="M62" s="2">
        <v>40</v>
      </c>
      <c r="N62">
        <v>2</v>
      </c>
      <c r="O62">
        <v>0</v>
      </c>
      <c r="P62">
        <v>0</v>
      </c>
      <c r="Q62">
        <v>10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0.1</v>
      </c>
      <c r="AB62" t="s">
        <v>374</v>
      </c>
      <c r="AC62">
        <v>1</v>
      </c>
      <c r="AD62">
        <v>0</v>
      </c>
      <c r="AE62">
        <v>0</v>
      </c>
      <c r="AF62">
        <v>180</v>
      </c>
      <c r="AG62">
        <v>0</v>
      </c>
      <c r="AH62">
        <v>0</v>
      </c>
      <c r="AI62">
        <v>0</v>
      </c>
      <c r="AJ62">
        <v>0</v>
      </c>
      <c r="AO62">
        <v>5</v>
      </c>
      <c r="AQ62">
        <v>1</v>
      </c>
      <c r="AR62" s="5">
        <v>1</v>
      </c>
      <c r="AS62" s="5">
        <v>2</v>
      </c>
      <c r="AT62" s="5" t="str">
        <f t="shared" si="0"/>
        <v>Number</v>
      </c>
      <c r="AU62" s="5" t="str">
        <f t="shared" si="1"/>
        <v>Number</v>
      </c>
      <c r="AV62" s="5" t="str">
        <f t="shared" si="2"/>
        <v>Diff</v>
      </c>
      <c r="AW62" s="5">
        <v>1</v>
      </c>
      <c r="AX62" s="5">
        <v>2</v>
      </c>
      <c r="AY62" s="5" t="str">
        <f t="shared" si="3"/>
        <v>Number</v>
      </c>
      <c r="AZ62" s="5" t="str">
        <f t="shared" si="4"/>
        <v>Number</v>
      </c>
      <c r="BA62" s="5" t="str">
        <f t="shared" si="5"/>
        <v>Diff</v>
      </c>
      <c r="BB62" s="5">
        <v>0.9</v>
      </c>
      <c r="BC62" s="5">
        <v>1</v>
      </c>
      <c r="BD62" s="5">
        <v>0.84</v>
      </c>
      <c r="BE62" s="5">
        <v>1</v>
      </c>
      <c r="BF62" s="5">
        <v>0.9</v>
      </c>
      <c r="BK62" s="5" t="str">
        <f t="shared" si="6"/>
        <v>Blank</v>
      </c>
      <c r="BL62" s="5" t="str">
        <f t="shared" si="7"/>
        <v>Blank</v>
      </c>
      <c r="BM62" s="5" t="str">
        <f t="shared" si="8"/>
        <v/>
      </c>
      <c r="BP62" s="5" t="str">
        <f t="shared" si="9"/>
        <v>Blank</v>
      </c>
      <c r="BQ62" s="5" t="str">
        <f t="shared" si="10"/>
        <v>Blank</v>
      </c>
      <c r="BR62" s="5" t="str">
        <f t="shared" si="11"/>
        <v/>
      </c>
      <c r="CA62" t="str">
        <f>IF(OR(AV62="Diff",BA62="Diff",BM62="Diff",BR62="Diff"),"Diff","")</f>
        <v>Diff</v>
      </c>
    </row>
    <row r="63" spans="1:79" x14ac:dyDescent="0.25">
      <c r="A63" t="s">
        <v>328</v>
      </c>
      <c r="B63" t="s">
        <v>167</v>
      </c>
      <c r="C63" t="s">
        <v>387</v>
      </c>
      <c r="D63" t="s">
        <v>388</v>
      </c>
      <c r="E63" s="2">
        <v>98</v>
      </c>
      <c r="F63" s="2">
        <v>102</v>
      </c>
      <c r="G63" t="s">
        <v>390</v>
      </c>
      <c r="H63" t="s">
        <v>384</v>
      </c>
      <c r="I63" t="s">
        <v>414</v>
      </c>
      <c r="J63" t="s">
        <v>392</v>
      </c>
      <c r="K63" s="2">
        <v>3300</v>
      </c>
      <c r="L63" s="2">
        <v>1500</v>
      </c>
      <c r="M63">
        <v>0</v>
      </c>
      <c r="N63">
        <v>0</v>
      </c>
      <c r="O63">
        <v>0</v>
      </c>
      <c r="P63">
        <v>0</v>
      </c>
      <c r="Q63">
        <v>1</v>
      </c>
      <c r="R63">
        <v>1</v>
      </c>
      <c r="S63">
        <v>1</v>
      </c>
      <c r="T63" s="2">
        <v>2</v>
      </c>
      <c r="U63">
        <v>0</v>
      </c>
      <c r="V63">
        <v>0</v>
      </c>
      <c r="W63">
        <v>1</v>
      </c>
      <c r="X63">
        <v>0</v>
      </c>
      <c r="Y63" s="2">
        <v>95</v>
      </c>
      <c r="Z63" s="2">
        <v>95</v>
      </c>
      <c r="AA63">
        <v>0.1</v>
      </c>
      <c r="AB63" t="s">
        <v>374</v>
      </c>
      <c r="AC63">
        <v>1</v>
      </c>
      <c r="AD63">
        <v>0</v>
      </c>
      <c r="AE63">
        <v>0</v>
      </c>
      <c r="AF63">
        <v>0</v>
      </c>
      <c r="AG63">
        <v>-45</v>
      </c>
      <c r="AH63">
        <v>145</v>
      </c>
      <c r="AI63">
        <v>-10</v>
      </c>
      <c r="AJ63">
        <v>30</v>
      </c>
      <c r="AO63">
        <v>5</v>
      </c>
      <c r="AQ63">
        <v>1</v>
      </c>
      <c r="AR63" s="5">
        <v>0.4</v>
      </c>
      <c r="AS63" s="5">
        <v>0.8</v>
      </c>
      <c r="AT63" s="5" t="str">
        <f t="shared" si="0"/>
        <v>Number</v>
      </c>
      <c r="AU63" s="5" t="str">
        <f t="shared" si="1"/>
        <v>Number</v>
      </c>
      <c r="AV63" s="5" t="str">
        <f t="shared" si="2"/>
        <v>Diff</v>
      </c>
      <c r="AW63" s="5">
        <v>1</v>
      </c>
      <c r="AX63" s="5">
        <v>2</v>
      </c>
      <c r="AY63" s="5" t="str">
        <f t="shared" si="3"/>
        <v>Number</v>
      </c>
      <c r="AZ63" s="5" t="str">
        <f t="shared" si="4"/>
        <v>Number</v>
      </c>
      <c r="BA63" s="5" t="str">
        <f t="shared" si="5"/>
        <v>Diff</v>
      </c>
      <c r="BB63" s="5">
        <v>1</v>
      </c>
      <c r="BC63" s="5">
        <v>0.7</v>
      </c>
      <c r="BD63" s="5">
        <v>1.5</v>
      </c>
      <c r="BE63" s="5">
        <v>0.85</v>
      </c>
      <c r="BF63" s="5">
        <v>0.625</v>
      </c>
      <c r="BG63" s="5">
        <v>0.3</v>
      </c>
      <c r="BH63" s="5">
        <v>1</v>
      </c>
      <c r="BI63" s="5">
        <v>0.152</v>
      </c>
      <c r="BJ63" s="5">
        <v>0.25</v>
      </c>
      <c r="BK63" s="5" t="str">
        <f t="shared" si="6"/>
        <v>Number</v>
      </c>
      <c r="BL63" s="5" t="str">
        <f t="shared" si="7"/>
        <v>Number</v>
      </c>
      <c r="BM63" s="5" t="str">
        <f t="shared" si="8"/>
        <v>Diff</v>
      </c>
      <c r="BN63" s="5">
        <v>0.22</v>
      </c>
      <c r="BO63" s="5">
        <v>0.44</v>
      </c>
      <c r="BP63" s="5" t="str">
        <f t="shared" si="9"/>
        <v>Number</v>
      </c>
      <c r="BQ63" s="5" t="str">
        <f t="shared" si="10"/>
        <v>Number</v>
      </c>
      <c r="BR63" s="5" t="str">
        <f t="shared" si="11"/>
        <v>Diff</v>
      </c>
      <c r="BS63" s="5">
        <v>0.8</v>
      </c>
      <c r="BT63" s="5">
        <v>0.9</v>
      </c>
      <c r="BU63" s="5">
        <v>0.9</v>
      </c>
      <c r="BX63" s="5">
        <v>0.6</v>
      </c>
      <c r="CA63" t="str">
        <f>IF(OR(AV63="Diff",BA63="Diff",BM63="Diff",BR63="Diff"),"Diff","")</f>
        <v>Diff</v>
      </c>
    </row>
    <row r="64" spans="1:79" x14ac:dyDescent="0.25">
      <c r="A64" t="s">
        <v>329</v>
      </c>
      <c r="B64" t="s">
        <v>167</v>
      </c>
      <c r="C64" t="s">
        <v>387</v>
      </c>
      <c r="D64" t="s">
        <v>388</v>
      </c>
      <c r="E64" s="2">
        <v>98</v>
      </c>
      <c r="F64" s="2">
        <v>102</v>
      </c>
      <c r="G64" t="s">
        <v>390</v>
      </c>
      <c r="H64" t="s">
        <v>384</v>
      </c>
      <c r="I64" t="s">
        <v>414</v>
      </c>
      <c r="J64" t="s">
        <v>392</v>
      </c>
      <c r="K64" s="2">
        <v>3300</v>
      </c>
      <c r="L64" s="2">
        <v>1500</v>
      </c>
      <c r="M64">
        <v>0</v>
      </c>
      <c r="N64">
        <v>0</v>
      </c>
      <c r="O64">
        <v>0</v>
      </c>
      <c r="P64">
        <v>0</v>
      </c>
      <c r="Q64">
        <v>1</v>
      </c>
      <c r="R64">
        <v>1</v>
      </c>
      <c r="S64">
        <v>1</v>
      </c>
      <c r="T64" s="2">
        <v>2</v>
      </c>
      <c r="U64">
        <v>0</v>
      </c>
      <c r="V64">
        <v>0</v>
      </c>
      <c r="W64">
        <v>1</v>
      </c>
      <c r="X64">
        <v>0</v>
      </c>
      <c r="Y64" s="2">
        <v>95</v>
      </c>
      <c r="Z64" s="2">
        <v>95</v>
      </c>
      <c r="AA64">
        <v>0.1</v>
      </c>
      <c r="AB64" t="s">
        <v>374</v>
      </c>
      <c r="AC64">
        <v>1</v>
      </c>
      <c r="AD64">
        <v>0</v>
      </c>
      <c r="AE64">
        <v>0</v>
      </c>
      <c r="AF64">
        <v>0</v>
      </c>
      <c r="AG64">
        <v>-145</v>
      </c>
      <c r="AH64">
        <v>45</v>
      </c>
      <c r="AI64">
        <v>-10</v>
      </c>
      <c r="AJ64">
        <v>30</v>
      </c>
      <c r="AO64">
        <v>5</v>
      </c>
      <c r="AQ64">
        <v>1</v>
      </c>
      <c r="AR64" s="5">
        <v>0.4</v>
      </c>
      <c r="AS64" s="5">
        <v>0.8</v>
      </c>
      <c r="AT64" s="5" t="str">
        <f t="shared" si="0"/>
        <v>Number</v>
      </c>
      <c r="AU64" s="5" t="str">
        <f t="shared" si="1"/>
        <v>Number</v>
      </c>
      <c r="AV64" s="5" t="str">
        <f t="shared" si="2"/>
        <v>Diff</v>
      </c>
      <c r="AW64" s="5">
        <v>1</v>
      </c>
      <c r="AX64" s="5">
        <v>2</v>
      </c>
      <c r="AY64" s="5" t="str">
        <f t="shared" si="3"/>
        <v>Number</v>
      </c>
      <c r="AZ64" s="5" t="str">
        <f t="shared" si="4"/>
        <v>Number</v>
      </c>
      <c r="BA64" s="5" t="str">
        <f t="shared" si="5"/>
        <v>Diff</v>
      </c>
      <c r="BB64" s="5">
        <v>1</v>
      </c>
      <c r="BC64" s="5">
        <v>0.7</v>
      </c>
      <c r="BD64" s="5">
        <v>1.5</v>
      </c>
      <c r="BE64" s="5">
        <v>0.85</v>
      </c>
      <c r="BF64" s="5">
        <v>0.625</v>
      </c>
      <c r="BG64" s="5">
        <v>0.3</v>
      </c>
      <c r="BH64" s="5">
        <v>1</v>
      </c>
      <c r="BI64" s="5">
        <v>0.152</v>
      </c>
      <c r="BJ64" s="5">
        <v>0.25</v>
      </c>
      <c r="BK64" s="5" t="str">
        <f t="shared" si="6"/>
        <v>Number</v>
      </c>
      <c r="BL64" s="5" t="str">
        <f t="shared" si="7"/>
        <v>Number</v>
      </c>
      <c r="BM64" s="5" t="str">
        <f t="shared" si="8"/>
        <v>Diff</v>
      </c>
      <c r="BN64" s="5">
        <v>0.22</v>
      </c>
      <c r="BO64" s="5">
        <v>0.44</v>
      </c>
      <c r="BP64" s="5" t="str">
        <f t="shared" si="9"/>
        <v>Number</v>
      </c>
      <c r="BQ64" s="5" t="str">
        <f t="shared" si="10"/>
        <v>Number</v>
      </c>
      <c r="BR64" s="5" t="str">
        <f t="shared" si="11"/>
        <v>Diff</v>
      </c>
      <c r="BS64" s="5">
        <v>0.8</v>
      </c>
      <c r="BT64" s="5">
        <v>0.9</v>
      </c>
      <c r="BU64" s="5">
        <v>0.9</v>
      </c>
      <c r="BX64" s="5">
        <v>0.6</v>
      </c>
      <c r="CA64" t="str">
        <f>IF(OR(AV64="Diff",BA64="Diff",BM64="Diff",BR64="Diff"),"Diff","")</f>
        <v>Diff</v>
      </c>
    </row>
    <row r="65" spans="1:79" hidden="1" x14ac:dyDescent="0.25">
      <c r="A65" t="s">
        <v>333</v>
      </c>
      <c r="B65" t="s">
        <v>167</v>
      </c>
      <c r="C65" t="s">
        <v>387</v>
      </c>
      <c r="D65" t="s">
        <v>388</v>
      </c>
      <c r="E65" s="2">
        <v>2600</v>
      </c>
      <c r="F65" s="2">
        <v>2600</v>
      </c>
      <c r="G65" t="s">
        <v>383</v>
      </c>
      <c r="H65" t="s">
        <v>393</v>
      </c>
      <c r="I65" t="s">
        <v>431</v>
      </c>
      <c r="J65" t="s">
        <v>392</v>
      </c>
      <c r="K65">
        <v>0</v>
      </c>
      <c r="L65" s="2">
        <v>4250</v>
      </c>
      <c r="M65">
        <v>0</v>
      </c>
      <c r="N65">
        <v>4</v>
      </c>
      <c r="O65">
        <v>2</v>
      </c>
      <c r="P65">
        <v>0</v>
      </c>
      <c r="Q65">
        <v>20</v>
      </c>
      <c r="R65">
        <v>0</v>
      </c>
      <c r="S65">
        <v>1</v>
      </c>
      <c r="T65">
        <v>7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0.1</v>
      </c>
      <c r="AB65" t="s">
        <v>374</v>
      </c>
      <c r="AC65">
        <v>0</v>
      </c>
      <c r="AD65">
        <v>0</v>
      </c>
      <c r="AE65">
        <v>1000</v>
      </c>
      <c r="AF65">
        <v>6</v>
      </c>
      <c r="AG65">
        <v>0</v>
      </c>
      <c r="AH65">
        <v>0</v>
      </c>
      <c r="AI65">
        <v>0</v>
      </c>
      <c r="AJ65">
        <v>0</v>
      </c>
      <c r="AK65" t="s">
        <v>387</v>
      </c>
      <c r="AL65" t="s">
        <v>395</v>
      </c>
      <c r="AM65" s="2">
        <v>-125</v>
      </c>
      <c r="AN65" s="2">
        <v>-125</v>
      </c>
      <c r="AO65" s="2">
        <v>35</v>
      </c>
      <c r="AP65" s="2"/>
      <c r="AQ65">
        <v>1</v>
      </c>
      <c r="AT65" s="5" t="str">
        <f t="shared" si="0"/>
        <v>Blank</v>
      </c>
      <c r="AU65" s="5" t="str">
        <f t="shared" si="1"/>
        <v>Blank</v>
      </c>
      <c r="AV65" s="5" t="str">
        <f t="shared" si="2"/>
        <v/>
      </c>
      <c r="AY65" s="5" t="str">
        <f t="shared" si="3"/>
        <v>Blank</v>
      </c>
      <c r="AZ65" s="5" t="str">
        <f t="shared" si="4"/>
        <v>Blank</v>
      </c>
      <c r="BA65" s="5" t="str">
        <f t="shared" si="5"/>
        <v/>
      </c>
      <c r="BB65" s="5">
        <v>1.1200000000000001</v>
      </c>
      <c r="BC65" s="5">
        <v>1.1200000000000001</v>
      </c>
      <c r="BD65" s="5">
        <v>0.73</v>
      </c>
      <c r="BE65" s="5">
        <v>0.2</v>
      </c>
      <c r="BF65" s="5">
        <v>0.35</v>
      </c>
      <c r="BH65" s="5">
        <v>1</v>
      </c>
      <c r="BI65" s="5">
        <v>0.1</v>
      </c>
      <c r="BJ65" s="5">
        <v>0.1</v>
      </c>
      <c r="BK65" s="5" t="str">
        <f t="shared" si="6"/>
        <v>Number</v>
      </c>
      <c r="BL65" s="5" t="str">
        <f t="shared" si="7"/>
        <v>Number</v>
      </c>
      <c r="BM65" s="5" t="str">
        <f t="shared" si="8"/>
        <v/>
      </c>
      <c r="BN65" s="5" t="s">
        <v>521</v>
      </c>
      <c r="BO65" s="5" t="s">
        <v>521</v>
      </c>
      <c r="BP65" s="5" t="str">
        <f t="shared" si="9"/>
        <v>Number</v>
      </c>
      <c r="BQ65" s="5" t="str">
        <f t="shared" si="10"/>
        <v>Number</v>
      </c>
      <c r="BR65" s="5" t="str">
        <f t="shared" si="11"/>
        <v/>
      </c>
      <c r="BS65" s="5">
        <v>1</v>
      </c>
      <c r="BY65" s="5">
        <v>1</v>
      </c>
      <c r="CA65" t="str">
        <f>IF(OR(AV65="Diff",BA65="Diff",BM65="Diff",BR65="Diff"),"Diff","")</f>
        <v/>
      </c>
    </row>
    <row r="66" spans="1:79" x14ac:dyDescent="0.25">
      <c r="A66" t="s">
        <v>334</v>
      </c>
      <c r="B66" t="s">
        <v>167</v>
      </c>
      <c r="C66" t="s">
        <v>387</v>
      </c>
      <c r="D66" t="s">
        <v>388</v>
      </c>
      <c r="E66" s="2">
        <v>70</v>
      </c>
      <c r="F66" s="2">
        <v>70</v>
      </c>
      <c r="G66" t="s">
        <v>390</v>
      </c>
      <c r="H66" t="s">
        <v>384</v>
      </c>
      <c r="I66" t="s">
        <v>414</v>
      </c>
      <c r="J66" t="s">
        <v>392</v>
      </c>
      <c r="K66" s="2">
        <v>3350</v>
      </c>
      <c r="L66" s="2">
        <v>1750</v>
      </c>
      <c r="M66">
        <v>0</v>
      </c>
      <c r="N66">
        <v>0</v>
      </c>
      <c r="O66">
        <v>0</v>
      </c>
      <c r="P66">
        <v>0</v>
      </c>
      <c r="Q66">
        <v>1</v>
      </c>
      <c r="R66">
        <v>1</v>
      </c>
      <c r="S66">
        <v>1</v>
      </c>
      <c r="T66" s="2">
        <v>1.5</v>
      </c>
      <c r="U66">
        <v>0</v>
      </c>
      <c r="V66">
        <v>0</v>
      </c>
      <c r="W66">
        <v>1</v>
      </c>
      <c r="X66">
        <v>0</v>
      </c>
      <c r="Y66" s="2">
        <v>75</v>
      </c>
      <c r="Z66" s="2">
        <v>75</v>
      </c>
      <c r="AA66">
        <v>0.1</v>
      </c>
      <c r="AB66" t="s">
        <v>374</v>
      </c>
      <c r="AC66">
        <v>1</v>
      </c>
      <c r="AD66">
        <v>0</v>
      </c>
      <c r="AE66">
        <v>0</v>
      </c>
      <c r="AF66">
        <v>0</v>
      </c>
      <c r="AG66">
        <v>-155</v>
      </c>
      <c r="AH66">
        <v>155</v>
      </c>
      <c r="AI66">
        <v>-10</v>
      </c>
      <c r="AJ66">
        <v>33</v>
      </c>
      <c r="AO66">
        <v>5</v>
      </c>
      <c r="AQ66">
        <v>1</v>
      </c>
      <c r="AR66" s="5">
        <v>1</v>
      </c>
      <c r="AS66" s="5">
        <v>2</v>
      </c>
      <c r="AT66" s="5" t="str">
        <f t="shared" si="0"/>
        <v>Number</v>
      </c>
      <c r="AU66" s="5" t="str">
        <f t="shared" si="1"/>
        <v>Number</v>
      </c>
      <c r="AV66" s="5" t="str">
        <f t="shared" si="2"/>
        <v>Diff</v>
      </c>
      <c r="AW66" s="5">
        <v>0.5</v>
      </c>
      <c r="AX66" s="5">
        <v>1.4</v>
      </c>
      <c r="AY66" s="5" t="str">
        <f t="shared" si="3"/>
        <v>Number</v>
      </c>
      <c r="AZ66" s="5" t="str">
        <f t="shared" si="4"/>
        <v>Number</v>
      </c>
      <c r="BA66" s="5" t="str">
        <f t="shared" si="5"/>
        <v>Diff</v>
      </c>
      <c r="BB66" s="5">
        <v>0.8</v>
      </c>
      <c r="BC66" s="5">
        <v>1</v>
      </c>
      <c r="BD66" s="5">
        <v>1</v>
      </c>
      <c r="BE66" s="5">
        <v>0.7</v>
      </c>
      <c r="BG66" s="5">
        <v>0.43</v>
      </c>
      <c r="BH66" s="5">
        <v>1</v>
      </c>
      <c r="BI66" s="5">
        <v>0.3</v>
      </c>
      <c r="BJ66" s="5">
        <v>0.3</v>
      </c>
      <c r="BK66" s="5" t="str">
        <f t="shared" si="6"/>
        <v>Number</v>
      </c>
      <c r="BL66" s="5" t="str">
        <f t="shared" si="7"/>
        <v>Number</v>
      </c>
      <c r="BM66" s="5" t="str">
        <f t="shared" si="8"/>
        <v/>
      </c>
      <c r="BN66" s="5">
        <v>0.7</v>
      </c>
      <c r="BO66" s="5">
        <v>0.7</v>
      </c>
      <c r="BP66" s="5" t="str">
        <f t="shared" si="9"/>
        <v>Number</v>
      </c>
      <c r="BQ66" s="5" t="str">
        <f t="shared" si="10"/>
        <v>Number</v>
      </c>
      <c r="BR66" s="5" t="str">
        <f t="shared" si="11"/>
        <v/>
      </c>
      <c r="BS66" s="5">
        <v>0.8</v>
      </c>
      <c r="BT66" s="5">
        <v>0.6</v>
      </c>
      <c r="BU66" s="5">
        <v>0.6</v>
      </c>
      <c r="BX66" s="5">
        <v>0.9</v>
      </c>
      <c r="CA66" t="str">
        <f>IF(OR(AV66="Diff",BA66="Diff",BM66="Diff",BR66="Diff"),"Diff","")</f>
        <v>Diff</v>
      </c>
    </row>
    <row r="67" spans="1:79" x14ac:dyDescent="0.25">
      <c r="A67" t="s">
        <v>335</v>
      </c>
      <c r="B67" t="s">
        <v>167</v>
      </c>
      <c r="C67" t="s">
        <v>387</v>
      </c>
      <c r="D67" t="s">
        <v>388</v>
      </c>
      <c r="E67">
        <v>5500</v>
      </c>
      <c r="F67">
        <v>5500</v>
      </c>
      <c r="G67" t="s">
        <v>383</v>
      </c>
      <c r="H67" t="s">
        <v>411</v>
      </c>
      <c r="I67" t="s">
        <v>434</v>
      </c>
      <c r="J67" t="s">
        <v>413</v>
      </c>
      <c r="K67">
        <v>300</v>
      </c>
      <c r="L67">
        <v>1000</v>
      </c>
      <c r="M67">
        <v>0</v>
      </c>
      <c r="N67">
        <v>0</v>
      </c>
      <c r="O67">
        <v>0</v>
      </c>
      <c r="P67">
        <v>0</v>
      </c>
      <c r="Q67">
        <v>1</v>
      </c>
      <c r="R67">
        <v>0</v>
      </c>
      <c r="S67">
        <v>0</v>
      </c>
      <c r="T67">
        <v>0.5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0.1</v>
      </c>
      <c r="AB67" t="s">
        <v>374</v>
      </c>
      <c r="AC67">
        <v>0</v>
      </c>
      <c r="AD67">
        <v>0</v>
      </c>
      <c r="AE67">
        <v>0</v>
      </c>
      <c r="AF67">
        <v>179</v>
      </c>
      <c r="AG67">
        <v>0</v>
      </c>
      <c r="AH67">
        <v>0</v>
      </c>
      <c r="AI67">
        <v>0</v>
      </c>
      <c r="AJ67">
        <v>0</v>
      </c>
      <c r="AO67">
        <v>5</v>
      </c>
      <c r="AQ67">
        <v>1</v>
      </c>
      <c r="AT67" s="5" t="str">
        <f t="shared" ref="AT67:AT130" si="12">IF(ISBLANK(AR67)=TRUE,"Blank",IF(AR67="","Empty
String",IF(AR67=0,"Zero","Number")))</f>
        <v>Blank</v>
      </c>
      <c r="AU67" s="5" t="str">
        <f t="shared" ref="AU67:AU130" si="13">IF(ISBLANK(AS67)=TRUE,"Blank",IF(AS67="","Empty
String",IF(AS67=0,"Zero","Number")))</f>
        <v>Blank</v>
      </c>
      <c r="AV67" s="5" t="str">
        <f t="shared" ref="AV67:AV130" si="14">IF(AND(AT67=AU67,AR67=AS67),"","Diff")</f>
        <v/>
      </c>
      <c r="AY67" s="5" t="str">
        <f t="shared" ref="AY67:AY130" si="15">IF(ISBLANK(AW67)=TRUE,"Blank",IF(AW67="","Empty
String",IF(AW67=0,"Zero","Number")))</f>
        <v>Blank</v>
      </c>
      <c r="AZ67" s="5" t="str">
        <f t="shared" ref="AZ67:AZ130" si="16">IF(ISBLANK(AX67)=TRUE,"Blank",IF(AX67="","Empty
String",IF(AX67=0,"Zero","Number")))</f>
        <v>Blank</v>
      </c>
      <c r="BA67" s="5" t="str">
        <f t="shared" ref="BA67:BA130" si="17">IF(AND(AY67=AZ67,AW67=AX67),"","Diff")</f>
        <v/>
      </c>
      <c r="BG67" s="5">
        <v>0</v>
      </c>
      <c r="BH67" s="5">
        <v>1</v>
      </c>
      <c r="BI67" s="5">
        <v>0</v>
      </c>
      <c r="BK67" s="5" t="str">
        <f t="shared" ref="BK67:BK130" si="18">IF(ISBLANK(BI67)=TRUE,"Blank",IF(BI67="","Empty
String",IF(BI67=0,"Zero","Number")))</f>
        <v>Zero</v>
      </c>
      <c r="BL67" s="5" t="str">
        <f t="shared" ref="BL67:BL130" si="19">IF(ISBLANK(BJ67)=TRUE,"Blank",IF(BJ67="","Empty
String",IF(BJ67=0,"Zero","Number")))</f>
        <v>Blank</v>
      </c>
      <c r="BM67" s="5" t="str">
        <f t="shared" ref="BM67:BM130" si="20">IF(AND(BK67=BL67,BI67=BJ67),"","Diff")</f>
        <v>Diff</v>
      </c>
      <c r="BN67" s="5">
        <v>0</v>
      </c>
      <c r="BP67" s="5" t="str">
        <f t="shared" ref="BP67:BP130" si="21">IF(ISBLANK(BN67)=TRUE,"Blank",IF(BN67="","Empty
String",IF(BN67=0,"Zero","Number")))</f>
        <v>Zero</v>
      </c>
      <c r="BQ67" s="5" t="str">
        <f t="shared" ref="BQ67:BQ130" si="22">IF(ISBLANK(BO67)=TRUE,"Blank",IF(BO67="","Empty
String",IF(BO67=0,"Zero","Number")))</f>
        <v>Blank</v>
      </c>
      <c r="BR67" s="5" t="str">
        <f t="shared" ref="BR67:BR130" si="23">IF(AND(BP67=BQ67,BN67=BO67),"","Diff")</f>
        <v>Diff</v>
      </c>
      <c r="CA67" t="str">
        <f>IF(OR(AV67="Diff",BA67="Diff",BM67="Diff",BR67="Diff"),"Diff","")</f>
        <v>Diff</v>
      </c>
    </row>
    <row r="68" spans="1:79" x14ac:dyDescent="0.25">
      <c r="A68" t="s">
        <v>336</v>
      </c>
      <c r="B68" t="s">
        <v>167</v>
      </c>
      <c r="C68" t="s">
        <v>387</v>
      </c>
      <c r="D68" t="s">
        <v>388</v>
      </c>
      <c r="E68" s="2">
        <v>27</v>
      </c>
      <c r="F68" s="2">
        <v>27</v>
      </c>
      <c r="G68" t="s">
        <v>390</v>
      </c>
      <c r="H68" t="s">
        <v>384</v>
      </c>
      <c r="I68" s="2" t="s">
        <v>429</v>
      </c>
      <c r="J68" t="s">
        <v>392</v>
      </c>
      <c r="K68">
        <v>3500</v>
      </c>
      <c r="L68" s="2">
        <v>1750</v>
      </c>
      <c r="M68">
        <v>0</v>
      </c>
      <c r="N68">
        <v>0</v>
      </c>
      <c r="O68">
        <v>0</v>
      </c>
      <c r="P68">
        <v>0</v>
      </c>
      <c r="Q68">
        <v>1</v>
      </c>
      <c r="R68">
        <v>1</v>
      </c>
      <c r="S68">
        <v>1</v>
      </c>
      <c r="T68" s="2">
        <v>1.7</v>
      </c>
      <c r="U68" s="2">
        <v>2</v>
      </c>
      <c r="V68" s="2">
        <v>1</v>
      </c>
      <c r="W68">
        <v>1</v>
      </c>
      <c r="X68">
        <v>0</v>
      </c>
      <c r="Y68" s="2">
        <v>109</v>
      </c>
      <c r="Z68" s="2">
        <v>109</v>
      </c>
      <c r="AA68">
        <v>0.1</v>
      </c>
      <c r="AB68" t="s">
        <v>374</v>
      </c>
      <c r="AC68">
        <v>1</v>
      </c>
      <c r="AD68">
        <v>0</v>
      </c>
      <c r="AE68">
        <v>0</v>
      </c>
      <c r="AF68" s="2">
        <v>10</v>
      </c>
      <c r="AG68" s="2">
        <v>-180</v>
      </c>
      <c r="AH68" s="2">
        <v>180</v>
      </c>
      <c r="AI68">
        <v>-10</v>
      </c>
      <c r="AJ68">
        <v>33</v>
      </c>
      <c r="AO68">
        <v>5</v>
      </c>
      <c r="AQ68">
        <v>1</v>
      </c>
      <c r="AR68" s="5">
        <v>1</v>
      </c>
      <c r="AS68" s="5">
        <v>2</v>
      </c>
      <c r="AT68" s="5" t="str">
        <f t="shared" si="12"/>
        <v>Number</v>
      </c>
      <c r="AU68" s="5" t="str">
        <f t="shared" si="13"/>
        <v>Number</v>
      </c>
      <c r="AV68" s="5" t="str">
        <f t="shared" si="14"/>
        <v>Diff</v>
      </c>
      <c r="AW68" s="5">
        <v>1</v>
      </c>
      <c r="AX68" s="5">
        <v>2</v>
      </c>
      <c r="AY68" s="5" t="str">
        <f t="shared" si="15"/>
        <v>Number</v>
      </c>
      <c r="AZ68" s="5" t="str">
        <f t="shared" si="16"/>
        <v>Number</v>
      </c>
      <c r="BA68" s="5" t="str">
        <f t="shared" si="17"/>
        <v>Diff</v>
      </c>
      <c r="BB68" s="5">
        <v>0.9</v>
      </c>
      <c r="BC68" s="5">
        <v>0.8</v>
      </c>
      <c r="BE68" s="5">
        <v>0.8</v>
      </c>
      <c r="BG68" s="5">
        <v>0.78400000000000003</v>
      </c>
      <c r="BH68" s="5">
        <v>1</v>
      </c>
      <c r="BI68" s="5">
        <v>0.3</v>
      </c>
      <c r="BJ68" s="5">
        <v>0.6</v>
      </c>
      <c r="BK68" s="5" t="str">
        <f t="shared" si="18"/>
        <v>Number</v>
      </c>
      <c r="BL68" s="5" t="str">
        <f t="shared" si="19"/>
        <v>Number</v>
      </c>
      <c r="BM68" s="5" t="str">
        <f t="shared" si="20"/>
        <v>Diff</v>
      </c>
      <c r="BN68" s="5">
        <v>0.62</v>
      </c>
      <c r="BO68" s="5">
        <v>0.69</v>
      </c>
      <c r="BP68" s="5" t="str">
        <f t="shared" si="21"/>
        <v>Number</v>
      </c>
      <c r="BQ68" s="5" t="str">
        <f t="shared" si="22"/>
        <v>Number</v>
      </c>
      <c r="BR68" s="5" t="str">
        <f t="shared" si="23"/>
        <v>Diff</v>
      </c>
      <c r="BS68" s="5">
        <v>0.6</v>
      </c>
      <c r="BT68" s="5">
        <v>0.6</v>
      </c>
      <c r="BU68" s="5">
        <v>0.6</v>
      </c>
      <c r="BX68" s="5">
        <v>0.6</v>
      </c>
      <c r="CA68" t="str">
        <f>IF(OR(AV68="Diff",BA68="Diff",BM68="Diff",BR68="Diff"),"Diff","")</f>
        <v>Diff</v>
      </c>
    </row>
    <row r="69" spans="1:79" x14ac:dyDescent="0.25">
      <c r="A69" t="s">
        <v>337</v>
      </c>
      <c r="B69" t="s">
        <v>167</v>
      </c>
      <c r="C69" t="s">
        <v>387</v>
      </c>
      <c r="D69" t="s">
        <v>388</v>
      </c>
      <c r="E69" s="2">
        <v>27</v>
      </c>
      <c r="F69" s="2">
        <v>27</v>
      </c>
      <c r="G69" t="s">
        <v>390</v>
      </c>
      <c r="H69" t="s">
        <v>384</v>
      </c>
      <c r="I69" s="2" t="s">
        <v>429</v>
      </c>
      <c r="J69" t="s">
        <v>392</v>
      </c>
      <c r="K69">
        <v>3500</v>
      </c>
      <c r="L69" s="2">
        <v>1750</v>
      </c>
      <c r="M69">
        <v>0</v>
      </c>
      <c r="N69">
        <v>0</v>
      </c>
      <c r="O69">
        <v>0</v>
      </c>
      <c r="P69">
        <v>0</v>
      </c>
      <c r="Q69">
        <v>1</v>
      </c>
      <c r="R69">
        <v>1</v>
      </c>
      <c r="S69">
        <v>1</v>
      </c>
      <c r="T69" s="2">
        <v>1.7</v>
      </c>
      <c r="U69" s="2">
        <v>2</v>
      </c>
      <c r="V69" s="2">
        <v>1</v>
      </c>
      <c r="W69">
        <v>1</v>
      </c>
      <c r="X69">
        <v>0</v>
      </c>
      <c r="Y69" s="2">
        <v>109</v>
      </c>
      <c r="Z69" s="2">
        <v>109</v>
      </c>
      <c r="AA69">
        <v>0.1</v>
      </c>
      <c r="AB69" t="s">
        <v>374</v>
      </c>
      <c r="AC69">
        <v>1</v>
      </c>
      <c r="AD69">
        <v>0</v>
      </c>
      <c r="AE69">
        <v>0</v>
      </c>
      <c r="AF69" s="2">
        <v>10</v>
      </c>
      <c r="AG69" s="2">
        <v>-180</v>
      </c>
      <c r="AH69" s="2">
        <v>180</v>
      </c>
      <c r="AI69">
        <v>-10</v>
      </c>
      <c r="AJ69">
        <v>33</v>
      </c>
      <c r="AO69">
        <v>5</v>
      </c>
      <c r="AQ69">
        <v>1</v>
      </c>
      <c r="AR69" s="5">
        <v>1</v>
      </c>
      <c r="AS69" s="5">
        <v>2</v>
      </c>
      <c r="AT69" s="5" t="str">
        <f t="shared" si="12"/>
        <v>Number</v>
      </c>
      <c r="AU69" s="5" t="str">
        <f t="shared" si="13"/>
        <v>Number</v>
      </c>
      <c r="AV69" s="5" t="str">
        <f t="shared" si="14"/>
        <v>Diff</v>
      </c>
      <c r="AW69" s="5">
        <v>1</v>
      </c>
      <c r="AX69" s="5">
        <v>2</v>
      </c>
      <c r="AY69" s="5" t="str">
        <f t="shared" si="15"/>
        <v>Number</v>
      </c>
      <c r="AZ69" s="5" t="str">
        <f t="shared" si="16"/>
        <v>Number</v>
      </c>
      <c r="BA69" s="5" t="str">
        <f t="shared" si="17"/>
        <v>Diff</v>
      </c>
      <c r="BB69" s="5">
        <v>0.9</v>
      </c>
      <c r="BC69" s="5">
        <v>0.8</v>
      </c>
      <c r="BE69" s="5">
        <v>0.8</v>
      </c>
      <c r="BG69" s="5">
        <v>0.78400000000000003</v>
      </c>
      <c r="BH69" s="5">
        <v>1</v>
      </c>
      <c r="BI69" s="5">
        <v>0.3</v>
      </c>
      <c r="BJ69" s="5">
        <v>0.6</v>
      </c>
      <c r="BK69" s="5" t="str">
        <f t="shared" si="18"/>
        <v>Number</v>
      </c>
      <c r="BL69" s="5" t="str">
        <f t="shared" si="19"/>
        <v>Number</v>
      </c>
      <c r="BM69" s="5" t="str">
        <f t="shared" si="20"/>
        <v>Diff</v>
      </c>
      <c r="BN69" s="5">
        <v>0.62</v>
      </c>
      <c r="BO69" s="5">
        <v>0.69</v>
      </c>
      <c r="BP69" s="5" t="str">
        <f t="shared" si="21"/>
        <v>Number</v>
      </c>
      <c r="BQ69" s="5" t="str">
        <f t="shared" si="22"/>
        <v>Number</v>
      </c>
      <c r="BR69" s="5" t="str">
        <f t="shared" si="23"/>
        <v>Diff</v>
      </c>
      <c r="BS69" s="5">
        <v>0.6</v>
      </c>
      <c r="BT69" s="5">
        <v>0.6</v>
      </c>
      <c r="BU69" s="5">
        <v>0.6</v>
      </c>
      <c r="BX69" s="5">
        <v>0.6</v>
      </c>
      <c r="CA69" t="str">
        <f>IF(OR(AV69="Diff",BA69="Diff",BM69="Diff",BR69="Diff"),"Diff","")</f>
        <v>Diff</v>
      </c>
    </row>
    <row r="70" spans="1:79" x14ac:dyDescent="0.25">
      <c r="A70" t="s">
        <v>338</v>
      </c>
      <c r="B70" t="s">
        <v>167</v>
      </c>
      <c r="C70" t="s">
        <v>387</v>
      </c>
      <c r="D70" t="s">
        <v>388</v>
      </c>
      <c r="E70">
        <v>20</v>
      </c>
      <c r="F70">
        <v>20</v>
      </c>
      <c r="G70" t="s">
        <v>390</v>
      </c>
      <c r="H70" t="s">
        <v>384</v>
      </c>
      <c r="I70" s="2" t="s">
        <v>414</v>
      </c>
      <c r="J70" t="s">
        <v>392</v>
      </c>
      <c r="K70" s="2">
        <v>3350</v>
      </c>
      <c r="L70" s="2" t="s">
        <v>380</v>
      </c>
      <c r="M70">
        <v>0</v>
      </c>
      <c r="N70">
        <v>0</v>
      </c>
      <c r="O70">
        <v>0</v>
      </c>
      <c r="P70">
        <v>0</v>
      </c>
      <c r="Q70">
        <v>1</v>
      </c>
      <c r="R70">
        <v>1</v>
      </c>
      <c r="S70" s="2">
        <v>1</v>
      </c>
      <c r="T70" s="2">
        <v>0.8</v>
      </c>
      <c r="U70">
        <v>0</v>
      </c>
      <c r="V70">
        <v>0</v>
      </c>
      <c r="W70">
        <v>1</v>
      </c>
      <c r="X70">
        <v>0</v>
      </c>
      <c r="Y70" s="2">
        <v>65</v>
      </c>
      <c r="Z70" s="2">
        <v>65</v>
      </c>
      <c r="AA70">
        <v>0.1</v>
      </c>
      <c r="AB70" t="s">
        <v>374</v>
      </c>
      <c r="AC70" s="2">
        <v>1</v>
      </c>
      <c r="AD70">
        <v>0</v>
      </c>
      <c r="AE70">
        <v>0</v>
      </c>
      <c r="AF70">
        <v>0</v>
      </c>
      <c r="AG70">
        <v>-60</v>
      </c>
      <c r="AH70">
        <v>60</v>
      </c>
      <c r="AI70">
        <v>-1</v>
      </c>
      <c r="AJ70">
        <v>10</v>
      </c>
      <c r="AO70">
        <v>5</v>
      </c>
      <c r="AQ70">
        <v>1</v>
      </c>
      <c r="AT70" s="5" t="str">
        <f t="shared" si="12"/>
        <v>Blank</v>
      </c>
      <c r="AU70" s="5" t="str">
        <f t="shared" si="13"/>
        <v>Blank</v>
      </c>
      <c r="AV70" s="5" t="str">
        <f t="shared" si="14"/>
        <v/>
      </c>
      <c r="AY70" s="5" t="str">
        <f t="shared" si="15"/>
        <v>Blank</v>
      </c>
      <c r="AZ70" s="5" t="str">
        <f t="shared" si="16"/>
        <v>Blank</v>
      </c>
      <c r="BA70" s="5" t="str">
        <f t="shared" si="17"/>
        <v/>
      </c>
      <c r="BE70" s="5">
        <v>0.8</v>
      </c>
      <c r="BH70" s="5">
        <v>1</v>
      </c>
      <c r="BI70" s="5">
        <v>0.12</v>
      </c>
      <c r="BJ70" s="5">
        <v>0.24</v>
      </c>
      <c r="BK70" s="5" t="str">
        <f t="shared" si="18"/>
        <v>Number</v>
      </c>
      <c r="BL70" s="5" t="str">
        <f t="shared" si="19"/>
        <v>Number</v>
      </c>
      <c r="BM70" s="5" t="str">
        <f t="shared" si="20"/>
        <v>Diff</v>
      </c>
      <c r="BN70" s="5">
        <v>0.13</v>
      </c>
      <c r="BO70" s="5">
        <v>0.26</v>
      </c>
      <c r="BP70" s="5" t="str">
        <f t="shared" si="21"/>
        <v>Number</v>
      </c>
      <c r="BQ70" s="5" t="str">
        <f t="shared" si="22"/>
        <v>Number</v>
      </c>
      <c r="BR70" s="5" t="str">
        <f t="shared" si="23"/>
        <v>Diff</v>
      </c>
      <c r="BS70" s="5">
        <v>0.8</v>
      </c>
      <c r="BT70" s="5">
        <v>0.6</v>
      </c>
      <c r="BU70" s="5">
        <v>0.6</v>
      </c>
      <c r="BX70" s="5">
        <v>0.6</v>
      </c>
      <c r="CA70" t="str">
        <f>IF(OR(AV70="Diff",BA70="Diff",BM70="Diff",BR70="Diff"),"Diff","")</f>
        <v>Diff</v>
      </c>
    </row>
    <row r="71" spans="1:79" hidden="1" x14ac:dyDescent="0.25">
      <c r="A71" t="s">
        <v>339</v>
      </c>
      <c r="B71" t="s">
        <v>167</v>
      </c>
      <c r="C71" t="s">
        <v>387</v>
      </c>
      <c r="D71" t="s">
        <v>388</v>
      </c>
      <c r="E71" s="2" t="s">
        <v>476</v>
      </c>
      <c r="F71" s="2" t="s">
        <v>476</v>
      </c>
      <c r="G71" t="s">
        <v>390</v>
      </c>
      <c r="H71" t="s">
        <v>393</v>
      </c>
      <c r="I71" t="s">
        <v>435</v>
      </c>
      <c r="J71" t="s">
        <v>392</v>
      </c>
      <c r="K71">
        <v>0</v>
      </c>
      <c r="L71" s="2">
        <v>890</v>
      </c>
      <c r="M71">
        <v>0</v>
      </c>
      <c r="N71">
        <v>5</v>
      </c>
      <c r="O71">
        <v>0</v>
      </c>
      <c r="P71">
        <v>0</v>
      </c>
      <c r="Q71">
        <v>1</v>
      </c>
      <c r="R71">
        <v>1</v>
      </c>
      <c r="S71">
        <v>1</v>
      </c>
      <c r="T71">
        <v>5</v>
      </c>
      <c r="U71">
        <v>5</v>
      </c>
      <c r="V71">
        <v>1</v>
      </c>
      <c r="W71">
        <v>1</v>
      </c>
      <c r="X71">
        <v>0</v>
      </c>
      <c r="Y71">
        <v>45</v>
      </c>
      <c r="Z71">
        <v>45</v>
      </c>
      <c r="AA71">
        <v>0.1</v>
      </c>
      <c r="AB71" t="s">
        <v>374</v>
      </c>
      <c r="AC71">
        <v>1</v>
      </c>
      <c r="AD71">
        <v>0</v>
      </c>
      <c r="AE71">
        <v>0</v>
      </c>
      <c r="AF71">
        <v>0</v>
      </c>
      <c r="AG71" s="2">
        <v>-45</v>
      </c>
      <c r="AH71" s="2">
        <v>45</v>
      </c>
      <c r="AI71">
        <v>-1</v>
      </c>
      <c r="AJ71">
        <v>10</v>
      </c>
      <c r="AO71">
        <v>5</v>
      </c>
      <c r="AP71"/>
      <c r="AQ71">
        <v>1</v>
      </c>
      <c r="AT71" s="5" t="str">
        <f t="shared" si="12"/>
        <v>Blank</v>
      </c>
      <c r="AU71" s="5" t="str">
        <f t="shared" si="13"/>
        <v>Blank</v>
      </c>
      <c r="AV71" s="5" t="str">
        <f t="shared" si="14"/>
        <v/>
      </c>
      <c r="AY71" s="5" t="str">
        <f t="shared" si="15"/>
        <v>Blank</v>
      </c>
      <c r="AZ71" s="5" t="str">
        <f t="shared" si="16"/>
        <v>Blank</v>
      </c>
      <c r="BA71" s="5" t="str">
        <f t="shared" si="17"/>
        <v/>
      </c>
      <c r="BE71" s="5">
        <v>0.8</v>
      </c>
      <c r="BH71" s="5">
        <v>1</v>
      </c>
      <c r="BK71" s="5" t="str">
        <f t="shared" si="18"/>
        <v>Blank</v>
      </c>
      <c r="BL71" s="5" t="str">
        <f t="shared" si="19"/>
        <v>Blank</v>
      </c>
      <c r="BM71" s="5" t="str">
        <f t="shared" si="20"/>
        <v/>
      </c>
      <c r="BP71" s="5" t="str">
        <f t="shared" si="21"/>
        <v>Blank</v>
      </c>
      <c r="BQ71" s="5" t="str">
        <f t="shared" si="22"/>
        <v>Blank</v>
      </c>
      <c r="BR71" s="5" t="str">
        <f t="shared" si="23"/>
        <v/>
      </c>
      <c r="CA71" t="str">
        <f>IF(OR(AV71="Diff",BA71="Diff",BM71="Diff",BR71="Diff"),"Diff","")</f>
        <v/>
      </c>
    </row>
    <row r="72" spans="1:79" x14ac:dyDescent="0.25">
      <c r="A72" t="s">
        <v>340</v>
      </c>
      <c r="B72" t="s">
        <v>167</v>
      </c>
      <c r="C72" t="s">
        <v>387</v>
      </c>
      <c r="D72" t="s">
        <v>388</v>
      </c>
      <c r="E72" s="2">
        <v>80</v>
      </c>
      <c r="F72" s="2">
        <v>85</v>
      </c>
      <c r="G72" t="s">
        <v>390</v>
      </c>
      <c r="H72" t="s">
        <v>384</v>
      </c>
      <c r="I72" t="s">
        <v>414</v>
      </c>
      <c r="J72" t="s">
        <v>392</v>
      </c>
      <c r="K72" s="2">
        <v>2500</v>
      </c>
      <c r="L72">
        <v>3450</v>
      </c>
      <c r="M72">
        <v>0</v>
      </c>
      <c r="N72">
        <v>0</v>
      </c>
      <c r="O72">
        <v>0</v>
      </c>
      <c r="P72">
        <v>0</v>
      </c>
      <c r="Q72">
        <v>1</v>
      </c>
      <c r="R72">
        <v>1</v>
      </c>
      <c r="S72">
        <v>1</v>
      </c>
      <c r="T72" s="2">
        <v>2.4</v>
      </c>
      <c r="U72">
        <v>0</v>
      </c>
      <c r="V72">
        <v>0</v>
      </c>
      <c r="W72">
        <v>1</v>
      </c>
      <c r="X72">
        <v>0</v>
      </c>
      <c r="Y72" s="2">
        <v>120</v>
      </c>
      <c r="Z72" s="2">
        <v>120</v>
      </c>
      <c r="AA72">
        <v>0.1</v>
      </c>
      <c r="AB72" t="s">
        <v>374</v>
      </c>
      <c r="AC72">
        <v>1</v>
      </c>
      <c r="AD72">
        <v>0</v>
      </c>
      <c r="AE72">
        <v>0</v>
      </c>
      <c r="AF72">
        <v>0</v>
      </c>
      <c r="AG72">
        <v>-150</v>
      </c>
      <c r="AH72">
        <v>150</v>
      </c>
      <c r="AI72">
        <v>-5</v>
      </c>
      <c r="AJ72">
        <v>45</v>
      </c>
      <c r="AO72">
        <v>5</v>
      </c>
      <c r="AQ72">
        <v>1</v>
      </c>
      <c r="AT72" s="5" t="str">
        <f t="shared" si="12"/>
        <v>Blank</v>
      </c>
      <c r="AU72" s="5" t="str">
        <f t="shared" si="13"/>
        <v>Blank</v>
      </c>
      <c r="AV72" s="5" t="str">
        <f t="shared" si="14"/>
        <v/>
      </c>
      <c r="AY72" s="5" t="str">
        <f t="shared" si="15"/>
        <v>Blank</v>
      </c>
      <c r="AZ72" s="5" t="str">
        <f t="shared" si="16"/>
        <v>Blank</v>
      </c>
      <c r="BA72" s="5" t="str">
        <f t="shared" si="17"/>
        <v/>
      </c>
      <c r="BH72" s="5">
        <v>1</v>
      </c>
      <c r="BI72" s="5">
        <v>0.25</v>
      </c>
      <c r="BJ72" s="5">
        <v>0.5</v>
      </c>
      <c r="BK72" s="5" t="str">
        <f t="shared" si="18"/>
        <v>Number</v>
      </c>
      <c r="BL72" s="5" t="str">
        <f t="shared" si="19"/>
        <v>Number</v>
      </c>
      <c r="BM72" s="5" t="str">
        <f t="shared" si="20"/>
        <v>Diff</v>
      </c>
      <c r="BN72" s="5">
        <v>0.18</v>
      </c>
      <c r="BO72" s="5">
        <v>0.36</v>
      </c>
      <c r="BP72" s="5" t="str">
        <f t="shared" si="21"/>
        <v>Number</v>
      </c>
      <c r="BQ72" s="5" t="str">
        <f t="shared" si="22"/>
        <v>Number</v>
      </c>
      <c r="BR72" s="5" t="str">
        <f t="shared" si="23"/>
        <v>Diff</v>
      </c>
      <c r="BS72" s="5">
        <v>0.8</v>
      </c>
      <c r="BT72" s="5">
        <v>0.6</v>
      </c>
      <c r="BU72" s="5">
        <v>0.6</v>
      </c>
      <c r="BX72" s="5">
        <v>0.6</v>
      </c>
      <c r="CA72" t="str">
        <f>IF(OR(AV72="Diff",BA72="Diff",BM72="Diff",BR72="Diff"),"Diff","")</f>
        <v>Diff</v>
      </c>
    </row>
    <row r="73" spans="1:79" hidden="1" x14ac:dyDescent="0.25">
      <c r="A73" t="s">
        <v>341</v>
      </c>
      <c r="B73" t="s">
        <v>167</v>
      </c>
      <c r="C73" t="s">
        <v>387</v>
      </c>
      <c r="D73" t="s">
        <v>388</v>
      </c>
      <c r="E73" s="2" t="s">
        <v>477</v>
      </c>
      <c r="F73" s="2" t="s">
        <v>477</v>
      </c>
      <c r="G73" t="s">
        <v>390</v>
      </c>
      <c r="H73" t="s">
        <v>393</v>
      </c>
      <c r="I73" t="s">
        <v>435</v>
      </c>
      <c r="J73" t="s">
        <v>392</v>
      </c>
      <c r="K73">
        <v>0</v>
      </c>
      <c r="L73" s="2">
        <v>850</v>
      </c>
      <c r="M73">
        <v>0</v>
      </c>
      <c r="N73">
        <v>5</v>
      </c>
      <c r="O73">
        <v>0</v>
      </c>
      <c r="P73">
        <v>0</v>
      </c>
      <c r="Q73">
        <v>1</v>
      </c>
      <c r="R73">
        <v>1</v>
      </c>
      <c r="S73">
        <v>1</v>
      </c>
      <c r="T73">
        <v>5</v>
      </c>
      <c r="U73">
        <v>5</v>
      </c>
      <c r="V73">
        <v>1</v>
      </c>
      <c r="W73">
        <v>1</v>
      </c>
      <c r="X73">
        <v>0</v>
      </c>
      <c r="Y73">
        <v>45</v>
      </c>
      <c r="Z73">
        <v>45</v>
      </c>
      <c r="AA73">
        <v>0.1</v>
      </c>
      <c r="AB73" t="s">
        <v>374</v>
      </c>
      <c r="AC73">
        <v>1</v>
      </c>
      <c r="AD73">
        <v>0</v>
      </c>
      <c r="AE73">
        <v>0</v>
      </c>
      <c r="AF73">
        <v>0</v>
      </c>
      <c r="AG73" s="2">
        <v>-25</v>
      </c>
      <c r="AH73" s="2">
        <v>25</v>
      </c>
      <c r="AI73">
        <v>-5</v>
      </c>
      <c r="AJ73" s="2">
        <v>25</v>
      </c>
      <c r="AO73">
        <v>5</v>
      </c>
      <c r="AP73"/>
      <c r="AQ73">
        <v>1</v>
      </c>
      <c r="AT73" s="5" t="str">
        <f t="shared" si="12"/>
        <v>Blank</v>
      </c>
      <c r="AU73" s="5" t="str">
        <f t="shared" si="13"/>
        <v>Blank</v>
      </c>
      <c r="AV73" s="5" t="str">
        <f t="shared" si="14"/>
        <v/>
      </c>
      <c r="AY73" s="5" t="str">
        <f t="shared" si="15"/>
        <v>Blank</v>
      </c>
      <c r="AZ73" s="5" t="str">
        <f t="shared" si="16"/>
        <v>Blank</v>
      </c>
      <c r="BA73" s="5" t="str">
        <f t="shared" si="17"/>
        <v/>
      </c>
      <c r="BH73" s="5">
        <v>1</v>
      </c>
      <c r="BK73" s="5" t="str">
        <f t="shared" si="18"/>
        <v>Blank</v>
      </c>
      <c r="BL73" s="5" t="str">
        <f t="shared" si="19"/>
        <v>Blank</v>
      </c>
      <c r="BM73" s="5" t="str">
        <f t="shared" si="20"/>
        <v/>
      </c>
      <c r="BP73" s="5" t="str">
        <f t="shared" si="21"/>
        <v>Blank</v>
      </c>
      <c r="BQ73" s="5" t="str">
        <f t="shared" si="22"/>
        <v>Blank</v>
      </c>
      <c r="BR73" s="5" t="str">
        <f t="shared" si="23"/>
        <v/>
      </c>
      <c r="CA73" t="str">
        <f>IF(OR(AV73="Diff",BA73="Diff",BM73="Diff",BR73="Diff"),"Diff","")</f>
        <v/>
      </c>
    </row>
    <row r="74" spans="1:79" x14ac:dyDescent="0.25">
      <c r="A74" t="s">
        <v>342</v>
      </c>
      <c r="B74" t="s">
        <v>167</v>
      </c>
      <c r="C74" t="s">
        <v>387</v>
      </c>
      <c r="D74" t="s">
        <v>388</v>
      </c>
      <c r="E74" s="2">
        <v>200</v>
      </c>
      <c r="F74" s="2">
        <v>275</v>
      </c>
      <c r="G74" t="s">
        <v>383</v>
      </c>
      <c r="H74" t="s">
        <v>384</v>
      </c>
      <c r="I74" s="2" t="s">
        <v>405</v>
      </c>
      <c r="J74" t="s">
        <v>392</v>
      </c>
      <c r="K74" s="2">
        <v>1750</v>
      </c>
      <c r="L74" s="2">
        <v>3200</v>
      </c>
      <c r="M74">
        <v>0</v>
      </c>
      <c r="N74">
        <v>0</v>
      </c>
      <c r="O74">
        <v>0</v>
      </c>
      <c r="P74">
        <v>0</v>
      </c>
      <c r="Q74">
        <v>1</v>
      </c>
      <c r="R74">
        <v>1</v>
      </c>
      <c r="S74">
        <v>1</v>
      </c>
      <c r="T74" s="2">
        <v>6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0.1</v>
      </c>
      <c r="AB74" t="s">
        <v>374</v>
      </c>
      <c r="AC74">
        <v>0</v>
      </c>
      <c r="AD74">
        <v>0</v>
      </c>
      <c r="AE74">
        <v>0</v>
      </c>
      <c r="AF74">
        <v>30</v>
      </c>
      <c r="AG74">
        <v>0</v>
      </c>
      <c r="AH74">
        <v>0</v>
      </c>
      <c r="AI74">
        <v>0</v>
      </c>
      <c r="AJ74">
        <v>0</v>
      </c>
      <c r="AO74">
        <v>5</v>
      </c>
      <c r="AQ74">
        <v>1</v>
      </c>
      <c r="AR74" s="5">
        <v>0.11</v>
      </c>
      <c r="AS74" s="5">
        <v>0.11</v>
      </c>
      <c r="AT74" s="5" t="str">
        <f t="shared" si="12"/>
        <v>Number</v>
      </c>
      <c r="AU74" s="5" t="str">
        <f t="shared" si="13"/>
        <v>Number</v>
      </c>
      <c r="AV74" s="5" t="str">
        <f t="shared" si="14"/>
        <v/>
      </c>
      <c r="AW74" s="5">
        <v>1</v>
      </c>
      <c r="AX74" s="5">
        <v>1.4</v>
      </c>
      <c r="AY74" s="5" t="str">
        <f t="shared" si="15"/>
        <v>Number</v>
      </c>
      <c r="AZ74" s="5" t="str">
        <f t="shared" si="16"/>
        <v>Number</v>
      </c>
      <c r="BA74" s="5" t="str">
        <f t="shared" si="17"/>
        <v>Diff</v>
      </c>
      <c r="BB74" s="5">
        <v>0.89</v>
      </c>
      <c r="BC74" s="5">
        <v>1.1000000000000001</v>
      </c>
      <c r="BD74" s="5">
        <v>0.85</v>
      </c>
      <c r="BE74" s="5">
        <v>0.2</v>
      </c>
      <c r="BF74" s="5">
        <v>1</v>
      </c>
      <c r="BG74" s="5">
        <v>0.11</v>
      </c>
      <c r="BH74" s="5">
        <v>1</v>
      </c>
      <c r="BI74" s="5">
        <v>0.06</v>
      </c>
      <c r="BJ74" s="5">
        <v>0.11</v>
      </c>
      <c r="BK74" s="5" t="str">
        <f t="shared" si="18"/>
        <v>Number</v>
      </c>
      <c r="BL74" s="5" t="str">
        <f t="shared" si="19"/>
        <v>Number</v>
      </c>
      <c r="BM74" s="5" t="str">
        <f t="shared" si="20"/>
        <v>Diff</v>
      </c>
      <c r="BN74" s="5">
        <v>0.56000000000000005</v>
      </c>
      <c r="BO74" s="5">
        <v>0.66</v>
      </c>
      <c r="BP74" s="5" t="str">
        <f t="shared" si="21"/>
        <v>Number</v>
      </c>
      <c r="BQ74" s="5" t="str">
        <f t="shared" si="22"/>
        <v>Number</v>
      </c>
      <c r="BR74" s="5" t="str">
        <f t="shared" si="23"/>
        <v>Diff</v>
      </c>
      <c r="BS74" s="5">
        <v>0.9</v>
      </c>
      <c r="BT74" s="5">
        <v>0.93</v>
      </c>
      <c r="BU74" s="5">
        <v>0.93</v>
      </c>
      <c r="BX74" s="5">
        <v>0.6</v>
      </c>
      <c r="BY74" s="5">
        <v>1</v>
      </c>
      <c r="CA74" t="str">
        <f>IF(OR(AV74="Diff",BA74="Diff",BM74="Diff",BR74="Diff"),"Diff","")</f>
        <v>Diff</v>
      </c>
    </row>
    <row r="75" spans="1:79" x14ac:dyDescent="0.25">
      <c r="A75" t="s">
        <v>343</v>
      </c>
      <c r="B75" t="s">
        <v>167</v>
      </c>
      <c r="C75" t="s">
        <v>387</v>
      </c>
      <c r="D75" t="s">
        <v>388</v>
      </c>
      <c r="E75" s="2">
        <v>70</v>
      </c>
      <c r="F75" s="2">
        <v>74</v>
      </c>
      <c r="G75" t="s">
        <v>390</v>
      </c>
      <c r="H75" t="s">
        <v>384</v>
      </c>
      <c r="I75" s="2" t="s">
        <v>429</v>
      </c>
      <c r="J75" t="s">
        <v>392</v>
      </c>
      <c r="K75" s="2">
        <v>2600</v>
      </c>
      <c r="L75" s="2">
        <v>3200</v>
      </c>
      <c r="M75">
        <v>0</v>
      </c>
      <c r="N75">
        <v>0</v>
      </c>
      <c r="O75">
        <v>0</v>
      </c>
      <c r="P75">
        <v>0</v>
      </c>
      <c r="Q75">
        <v>1</v>
      </c>
      <c r="R75">
        <v>1</v>
      </c>
      <c r="S75">
        <v>1</v>
      </c>
      <c r="T75" s="2">
        <v>2</v>
      </c>
      <c r="U75">
        <v>0</v>
      </c>
      <c r="V75">
        <v>0</v>
      </c>
      <c r="W75">
        <v>1</v>
      </c>
      <c r="X75">
        <v>0</v>
      </c>
      <c r="Y75" s="2">
        <v>75</v>
      </c>
      <c r="Z75" s="2">
        <v>75</v>
      </c>
      <c r="AA75">
        <v>0.1</v>
      </c>
      <c r="AB75" t="s">
        <v>374</v>
      </c>
      <c r="AC75">
        <v>1</v>
      </c>
      <c r="AD75">
        <v>0</v>
      </c>
      <c r="AE75">
        <v>0</v>
      </c>
      <c r="AF75">
        <v>0</v>
      </c>
      <c r="AG75">
        <v>-15</v>
      </c>
      <c r="AH75">
        <v>160</v>
      </c>
      <c r="AI75">
        <v>-10</v>
      </c>
      <c r="AJ75">
        <v>60</v>
      </c>
      <c r="AO75">
        <v>5</v>
      </c>
      <c r="AQ75">
        <v>1</v>
      </c>
      <c r="AR75" s="5">
        <v>0.1</v>
      </c>
      <c r="AS75" s="5">
        <v>0.2</v>
      </c>
      <c r="AT75" s="5" t="str">
        <f t="shared" si="12"/>
        <v>Number</v>
      </c>
      <c r="AU75" s="5" t="str">
        <f t="shared" si="13"/>
        <v>Number</v>
      </c>
      <c r="AV75" s="5" t="str">
        <f t="shared" si="14"/>
        <v>Diff</v>
      </c>
      <c r="AW75" s="5">
        <v>0.32</v>
      </c>
      <c r="AX75" s="5">
        <v>0.56000000000000005</v>
      </c>
      <c r="AY75" s="5" t="str">
        <f t="shared" si="15"/>
        <v>Number</v>
      </c>
      <c r="AZ75" s="5" t="str">
        <f t="shared" si="16"/>
        <v>Number</v>
      </c>
      <c r="BA75" s="5" t="str">
        <f t="shared" si="17"/>
        <v>Diff</v>
      </c>
      <c r="BB75" s="5">
        <v>1.1000000000000001</v>
      </c>
      <c r="BC75" s="5">
        <v>0.9</v>
      </c>
      <c r="BD75" s="5">
        <v>0.85</v>
      </c>
      <c r="BE75" s="5">
        <v>0.8</v>
      </c>
      <c r="BF75" s="5">
        <v>0.2</v>
      </c>
      <c r="BG75" s="5">
        <v>0.184</v>
      </c>
      <c r="BH75" s="5">
        <v>1</v>
      </c>
      <c r="BI75" s="5">
        <v>0.04</v>
      </c>
      <c r="BJ75" s="5">
        <v>0.08</v>
      </c>
      <c r="BK75" s="5" t="str">
        <f t="shared" si="18"/>
        <v>Number</v>
      </c>
      <c r="BL75" s="5" t="str">
        <f t="shared" si="19"/>
        <v>Number</v>
      </c>
      <c r="BM75" s="5" t="str">
        <f t="shared" si="20"/>
        <v>Diff</v>
      </c>
      <c r="BN75" s="5">
        <v>0.4</v>
      </c>
      <c r="BO75" s="5">
        <v>0.64</v>
      </c>
      <c r="BP75" s="5" t="str">
        <f t="shared" si="21"/>
        <v>Number</v>
      </c>
      <c r="BQ75" s="5" t="str">
        <f t="shared" si="22"/>
        <v>Number</v>
      </c>
      <c r="BR75" s="5" t="str">
        <f t="shared" si="23"/>
        <v>Diff</v>
      </c>
      <c r="BS75" s="5">
        <v>0.9</v>
      </c>
      <c r="BT75" s="5">
        <v>0.89</v>
      </c>
      <c r="BU75" s="5">
        <v>0.89</v>
      </c>
      <c r="BW75" s="5">
        <v>0.89</v>
      </c>
      <c r="BX75" s="5">
        <v>0.6</v>
      </c>
      <c r="BY75" s="5">
        <v>1</v>
      </c>
      <c r="CA75" t="str">
        <f>IF(OR(AV75="Diff",BA75="Diff",BM75="Diff",BR75="Diff"),"Diff","")</f>
        <v>Diff</v>
      </c>
    </row>
    <row r="76" spans="1:79" x14ac:dyDescent="0.25">
      <c r="A76" t="s">
        <v>344</v>
      </c>
      <c r="B76" t="s">
        <v>167</v>
      </c>
      <c r="C76" t="s">
        <v>387</v>
      </c>
      <c r="D76" t="s">
        <v>388</v>
      </c>
      <c r="E76" s="2">
        <v>70</v>
      </c>
      <c r="F76" s="2">
        <v>74</v>
      </c>
      <c r="G76" t="s">
        <v>390</v>
      </c>
      <c r="H76" t="s">
        <v>384</v>
      </c>
      <c r="I76" s="2" t="s">
        <v>429</v>
      </c>
      <c r="J76" t="s">
        <v>392</v>
      </c>
      <c r="K76" s="2">
        <v>2600</v>
      </c>
      <c r="L76" s="2">
        <v>3200</v>
      </c>
      <c r="M76">
        <v>0</v>
      </c>
      <c r="N76">
        <v>0</v>
      </c>
      <c r="O76">
        <v>0</v>
      </c>
      <c r="P76">
        <v>0</v>
      </c>
      <c r="Q76">
        <v>1</v>
      </c>
      <c r="R76">
        <v>1</v>
      </c>
      <c r="S76">
        <v>1</v>
      </c>
      <c r="T76" s="2">
        <v>2</v>
      </c>
      <c r="U76">
        <v>0</v>
      </c>
      <c r="V76">
        <v>0</v>
      </c>
      <c r="W76">
        <v>1</v>
      </c>
      <c r="X76">
        <v>0</v>
      </c>
      <c r="Y76" s="2">
        <v>75</v>
      </c>
      <c r="Z76" s="2">
        <v>75</v>
      </c>
      <c r="AA76">
        <v>0.1</v>
      </c>
      <c r="AB76" t="s">
        <v>374</v>
      </c>
      <c r="AC76">
        <v>1</v>
      </c>
      <c r="AD76">
        <v>0</v>
      </c>
      <c r="AE76">
        <v>0</v>
      </c>
      <c r="AF76">
        <v>0</v>
      </c>
      <c r="AG76">
        <v>-160</v>
      </c>
      <c r="AH76">
        <v>15</v>
      </c>
      <c r="AI76">
        <v>-10</v>
      </c>
      <c r="AJ76">
        <v>60</v>
      </c>
      <c r="AO76">
        <v>5</v>
      </c>
      <c r="AQ76">
        <v>1</v>
      </c>
      <c r="AR76" s="5">
        <v>0.1</v>
      </c>
      <c r="AS76" s="5">
        <v>0.2</v>
      </c>
      <c r="AT76" s="5" t="str">
        <f t="shared" si="12"/>
        <v>Number</v>
      </c>
      <c r="AU76" s="5" t="str">
        <f t="shared" si="13"/>
        <v>Number</v>
      </c>
      <c r="AV76" s="5" t="str">
        <f t="shared" si="14"/>
        <v>Diff</v>
      </c>
      <c r="AW76" s="5">
        <v>0.32</v>
      </c>
      <c r="AX76" s="5">
        <v>0.56000000000000005</v>
      </c>
      <c r="AY76" s="5" t="str">
        <f t="shared" si="15"/>
        <v>Number</v>
      </c>
      <c r="AZ76" s="5" t="str">
        <f t="shared" si="16"/>
        <v>Number</v>
      </c>
      <c r="BA76" s="5" t="str">
        <f t="shared" si="17"/>
        <v>Diff</v>
      </c>
      <c r="BB76" s="5">
        <v>1.1000000000000001</v>
      </c>
      <c r="BC76" s="5">
        <v>0.9</v>
      </c>
      <c r="BD76" s="5">
        <v>0.85</v>
      </c>
      <c r="BE76" s="5">
        <v>0.8</v>
      </c>
      <c r="BF76" s="5">
        <v>0.2</v>
      </c>
      <c r="BG76" s="5">
        <v>0.184</v>
      </c>
      <c r="BH76" s="5">
        <v>1</v>
      </c>
      <c r="BI76" s="5">
        <v>0.04</v>
      </c>
      <c r="BJ76" s="5">
        <v>0.08</v>
      </c>
      <c r="BK76" s="5" t="str">
        <f t="shared" si="18"/>
        <v>Number</v>
      </c>
      <c r="BL76" s="5" t="str">
        <f t="shared" si="19"/>
        <v>Number</v>
      </c>
      <c r="BM76" s="5" t="str">
        <f t="shared" si="20"/>
        <v>Diff</v>
      </c>
      <c r="BN76" s="5">
        <v>0.4</v>
      </c>
      <c r="BO76" s="5">
        <v>0.64</v>
      </c>
      <c r="BP76" s="5" t="str">
        <f t="shared" si="21"/>
        <v>Number</v>
      </c>
      <c r="BQ76" s="5" t="str">
        <f t="shared" si="22"/>
        <v>Number</v>
      </c>
      <c r="BR76" s="5" t="str">
        <f t="shared" si="23"/>
        <v>Diff</v>
      </c>
      <c r="BS76" s="5">
        <v>0.9</v>
      </c>
      <c r="BT76" s="5">
        <v>0.89</v>
      </c>
      <c r="BU76" s="5">
        <v>0.89</v>
      </c>
      <c r="BW76" s="5">
        <v>0.89</v>
      </c>
      <c r="BX76" s="5">
        <v>0.6</v>
      </c>
      <c r="BY76" s="5">
        <v>1</v>
      </c>
      <c r="CA76" t="str">
        <f>IF(OR(AV76="Diff",BA76="Diff",BM76="Diff",BR76="Diff"),"Diff","")</f>
        <v>Diff</v>
      </c>
    </row>
    <row r="77" spans="1:79" hidden="1" x14ac:dyDescent="0.25">
      <c r="A77" t="s">
        <v>345</v>
      </c>
      <c r="B77" t="s">
        <v>167</v>
      </c>
      <c r="C77" t="s">
        <v>387</v>
      </c>
      <c r="D77" t="s">
        <v>388</v>
      </c>
      <c r="E77" s="2">
        <v>1500</v>
      </c>
      <c r="F77" s="2">
        <v>1500</v>
      </c>
      <c r="G77" t="s">
        <v>390</v>
      </c>
      <c r="H77" t="s">
        <v>384</v>
      </c>
      <c r="I77" t="s">
        <v>391</v>
      </c>
      <c r="J77" t="s">
        <v>392</v>
      </c>
      <c r="K77">
        <v>5000</v>
      </c>
      <c r="L77">
        <v>5500</v>
      </c>
      <c r="M77">
        <v>0</v>
      </c>
      <c r="N77">
        <v>0</v>
      </c>
      <c r="O77">
        <v>0</v>
      </c>
      <c r="P77">
        <v>0</v>
      </c>
      <c r="Q77">
        <v>1</v>
      </c>
      <c r="R77">
        <v>1</v>
      </c>
      <c r="S77">
        <v>1</v>
      </c>
      <c r="T77" s="2">
        <v>5.5</v>
      </c>
      <c r="U77">
        <v>0</v>
      </c>
      <c r="V77">
        <v>0</v>
      </c>
      <c r="W77">
        <v>1</v>
      </c>
      <c r="X77">
        <v>1</v>
      </c>
      <c r="Y77">
        <v>33</v>
      </c>
      <c r="Z77">
        <v>20</v>
      </c>
      <c r="AA77">
        <v>0.1</v>
      </c>
      <c r="AB77" t="s">
        <v>374</v>
      </c>
      <c r="AC77">
        <v>1</v>
      </c>
      <c r="AD77">
        <v>0</v>
      </c>
      <c r="AE77">
        <v>0</v>
      </c>
      <c r="AF77">
        <v>0</v>
      </c>
      <c r="AG77">
        <v>-160</v>
      </c>
      <c r="AH77">
        <v>15</v>
      </c>
      <c r="AI77">
        <v>-11</v>
      </c>
      <c r="AJ77">
        <v>45</v>
      </c>
      <c r="AO77">
        <v>30</v>
      </c>
      <c r="AP77"/>
      <c r="AQ77">
        <v>1</v>
      </c>
      <c r="AT77" s="5" t="str">
        <f t="shared" si="12"/>
        <v>Blank</v>
      </c>
      <c r="AU77" s="5" t="str">
        <f t="shared" si="13"/>
        <v>Blank</v>
      </c>
      <c r="AV77" s="5" t="str">
        <f t="shared" si="14"/>
        <v/>
      </c>
      <c r="AY77" s="5" t="str">
        <f t="shared" si="15"/>
        <v>Blank</v>
      </c>
      <c r="AZ77" s="5" t="str">
        <f t="shared" si="16"/>
        <v>Blank</v>
      </c>
      <c r="BA77" s="5" t="str">
        <f t="shared" si="17"/>
        <v/>
      </c>
      <c r="BE77" s="5">
        <v>0.6</v>
      </c>
      <c r="BF77" s="5">
        <v>0.3</v>
      </c>
      <c r="BH77" s="5">
        <v>1</v>
      </c>
      <c r="BI77" s="5">
        <v>0.05</v>
      </c>
      <c r="BJ77" s="5">
        <v>0.05</v>
      </c>
      <c r="BK77" s="5" t="str">
        <f t="shared" si="18"/>
        <v>Number</v>
      </c>
      <c r="BL77" s="5" t="str">
        <f t="shared" si="19"/>
        <v>Number</v>
      </c>
      <c r="BM77" s="5" t="str">
        <f t="shared" si="20"/>
        <v/>
      </c>
      <c r="BN77" s="5">
        <v>0.06</v>
      </c>
      <c r="BO77" s="5">
        <v>0.06</v>
      </c>
      <c r="BP77" s="5" t="str">
        <f t="shared" si="21"/>
        <v>Number</v>
      </c>
      <c r="BQ77" s="5" t="str">
        <f t="shared" si="22"/>
        <v>Number</v>
      </c>
      <c r="BR77" s="5" t="str">
        <f t="shared" si="23"/>
        <v/>
      </c>
      <c r="CA77" t="str">
        <f>IF(OR(AV77="Diff",BA77="Diff",BM77="Diff",BR77="Diff"),"Diff","")</f>
        <v/>
      </c>
    </row>
    <row r="78" spans="1:79" hidden="1" x14ac:dyDescent="0.25">
      <c r="A78" t="s">
        <v>346</v>
      </c>
      <c r="B78" t="s">
        <v>167</v>
      </c>
      <c r="C78" t="s">
        <v>387</v>
      </c>
      <c r="D78" t="s">
        <v>388</v>
      </c>
      <c r="E78" s="2">
        <v>1500</v>
      </c>
      <c r="F78" s="2">
        <v>1500</v>
      </c>
      <c r="G78" t="s">
        <v>390</v>
      </c>
      <c r="H78" t="s">
        <v>384</v>
      </c>
      <c r="I78" t="s">
        <v>391</v>
      </c>
      <c r="J78" t="s">
        <v>392</v>
      </c>
      <c r="K78">
        <v>5000</v>
      </c>
      <c r="L78">
        <v>5500</v>
      </c>
      <c r="M78">
        <v>0</v>
      </c>
      <c r="N78">
        <v>0</v>
      </c>
      <c r="O78">
        <v>0</v>
      </c>
      <c r="P78">
        <v>0</v>
      </c>
      <c r="Q78">
        <v>1</v>
      </c>
      <c r="R78">
        <v>1</v>
      </c>
      <c r="S78">
        <v>1</v>
      </c>
      <c r="T78" s="2">
        <v>5.5</v>
      </c>
      <c r="U78">
        <v>0</v>
      </c>
      <c r="V78">
        <v>0</v>
      </c>
      <c r="W78">
        <v>1</v>
      </c>
      <c r="X78">
        <v>1</v>
      </c>
      <c r="Y78">
        <v>33</v>
      </c>
      <c r="Z78">
        <v>20</v>
      </c>
      <c r="AA78">
        <v>0.1</v>
      </c>
      <c r="AB78" t="s">
        <v>374</v>
      </c>
      <c r="AC78">
        <v>1</v>
      </c>
      <c r="AD78">
        <v>0</v>
      </c>
      <c r="AE78">
        <v>0</v>
      </c>
      <c r="AF78">
        <v>0</v>
      </c>
      <c r="AG78">
        <v>-15</v>
      </c>
      <c r="AH78">
        <v>160</v>
      </c>
      <c r="AI78">
        <v>-11</v>
      </c>
      <c r="AJ78">
        <v>45</v>
      </c>
      <c r="AO78">
        <v>30</v>
      </c>
      <c r="AP78"/>
      <c r="AQ78">
        <v>1</v>
      </c>
      <c r="AT78" s="5" t="str">
        <f t="shared" si="12"/>
        <v>Blank</v>
      </c>
      <c r="AU78" s="5" t="str">
        <f t="shared" si="13"/>
        <v>Blank</v>
      </c>
      <c r="AV78" s="5" t="str">
        <f t="shared" si="14"/>
        <v/>
      </c>
      <c r="AY78" s="5" t="str">
        <f t="shared" si="15"/>
        <v>Blank</v>
      </c>
      <c r="AZ78" s="5" t="str">
        <f t="shared" si="16"/>
        <v>Blank</v>
      </c>
      <c r="BA78" s="5" t="str">
        <f t="shared" si="17"/>
        <v/>
      </c>
      <c r="BE78" s="5">
        <v>0.6</v>
      </c>
      <c r="BF78" s="5">
        <v>0.3</v>
      </c>
      <c r="BH78" s="5">
        <v>1</v>
      </c>
      <c r="BI78" s="5">
        <v>0.05</v>
      </c>
      <c r="BJ78" s="5">
        <v>0.05</v>
      </c>
      <c r="BK78" s="5" t="str">
        <f t="shared" si="18"/>
        <v>Number</v>
      </c>
      <c r="BL78" s="5" t="str">
        <f t="shared" si="19"/>
        <v>Number</v>
      </c>
      <c r="BM78" s="5" t="str">
        <f t="shared" si="20"/>
        <v/>
      </c>
      <c r="BN78" s="5">
        <v>0.06</v>
      </c>
      <c r="BO78" s="5">
        <v>0.06</v>
      </c>
      <c r="BP78" s="5" t="str">
        <f t="shared" si="21"/>
        <v>Number</v>
      </c>
      <c r="BQ78" s="5" t="str">
        <f t="shared" si="22"/>
        <v>Number</v>
      </c>
      <c r="BR78" s="5" t="str">
        <f t="shared" si="23"/>
        <v/>
      </c>
      <c r="CA78" t="str">
        <f>IF(OR(AV78="Diff",BA78="Diff",BM78="Diff",BR78="Diff"),"Diff","")</f>
        <v/>
      </c>
    </row>
    <row r="79" spans="1:79" hidden="1" x14ac:dyDescent="0.25">
      <c r="A79" t="s">
        <v>347</v>
      </c>
      <c r="B79" t="s">
        <v>167</v>
      </c>
      <c r="C79" t="s">
        <v>387</v>
      </c>
      <c r="D79" t="s">
        <v>388</v>
      </c>
      <c r="E79" s="2">
        <v>1500</v>
      </c>
      <c r="F79" s="2">
        <v>1500</v>
      </c>
      <c r="G79" t="s">
        <v>390</v>
      </c>
      <c r="H79" t="s">
        <v>384</v>
      </c>
      <c r="I79" t="s">
        <v>391</v>
      </c>
      <c r="J79" t="s">
        <v>392</v>
      </c>
      <c r="K79">
        <v>5000</v>
      </c>
      <c r="L79">
        <v>5500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 s="2">
        <v>5.5</v>
      </c>
      <c r="U79">
        <v>0</v>
      </c>
      <c r="V79">
        <v>0</v>
      </c>
      <c r="W79">
        <v>1</v>
      </c>
      <c r="X79">
        <v>1</v>
      </c>
      <c r="Y79">
        <v>33</v>
      </c>
      <c r="Z79">
        <v>20</v>
      </c>
      <c r="AA79">
        <v>0.1</v>
      </c>
      <c r="AB79" t="s">
        <v>374</v>
      </c>
      <c r="AC79">
        <v>1</v>
      </c>
      <c r="AD79">
        <v>0</v>
      </c>
      <c r="AE79">
        <v>0</v>
      </c>
      <c r="AF79">
        <v>0</v>
      </c>
      <c r="AG79">
        <v>-180</v>
      </c>
      <c r="AH79">
        <v>180</v>
      </c>
      <c r="AI79">
        <v>-11</v>
      </c>
      <c r="AJ79">
        <v>45</v>
      </c>
      <c r="AO79">
        <v>30</v>
      </c>
      <c r="AP79"/>
      <c r="AQ79">
        <v>1</v>
      </c>
      <c r="AT79" s="5" t="str">
        <f t="shared" si="12"/>
        <v>Blank</v>
      </c>
      <c r="AU79" s="5" t="str">
        <f t="shared" si="13"/>
        <v>Blank</v>
      </c>
      <c r="AV79" s="5" t="str">
        <f t="shared" si="14"/>
        <v/>
      </c>
      <c r="AY79" s="5" t="str">
        <f t="shared" si="15"/>
        <v>Blank</v>
      </c>
      <c r="AZ79" s="5" t="str">
        <f t="shared" si="16"/>
        <v>Blank</v>
      </c>
      <c r="BA79" s="5" t="str">
        <f t="shared" si="17"/>
        <v/>
      </c>
      <c r="BE79" s="5">
        <v>0.6</v>
      </c>
      <c r="BF79" s="5">
        <v>0.3</v>
      </c>
      <c r="BH79" s="5">
        <v>1</v>
      </c>
      <c r="BI79" s="5">
        <v>0.05</v>
      </c>
      <c r="BJ79" s="5">
        <v>0.05</v>
      </c>
      <c r="BK79" s="5" t="str">
        <f t="shared" si="18"/>
        <v>Number</v>
      </c>
      <c r="BL79" s="5" t="str">
        <f t="shared" si="19"/>
        <v>Number</v>
      </c>
      <c r="BM79" s="5" t="str">
        <f t="shared" si="20"/>
        <v/>
      </c>
      <c r="BN79" s="5">
        <v>0.06</v>
      </c>
      <c r="BO79" s="5">
        <v>0.06</v>
      </c>
      <c r="BP79" s="5" t="str">
        <f t="shared" si="21"/>
        <v>Number</v>
      </c>
      <c r="BQ79" s="5" t="str">
        <f t="shared" si="22"/>
        <v>Number</v>
      </c>
      <c r="BR79" s="5" t="str">
        <f t="shared" si="23"/>
        <v/>
      </c>
      <c r="CA79" t="str">
        <f>IF(OR(AV79="Diff",BA79="Diff",BM79="Diff",BR79="Diff"),"Diff","")</f>
        <v/>
      </c>
    </row>
    <row r="80" spans="1:79" hidden="1" x14ac:dyDescent="0.25">
      <c r="A80" t="s">
        <v>348</v>
      </c>
      <c r="B80" t="s">
        <v>167</v>
      </c>
      <c r="C80" t="s">
        <v>387</v>
      </c>
      <c r="D80" t="s">
        <v>388</v>
      </c>
      <c r="E80" s="2">
        <v>2400</v>
      </c>
      <c r="F80" s="2">
        <v>2400</v>
      </c>
      <c r="G80" t="s">
        <v>390</v>
      </c>
      <c r="H80" t="s">
        <v>393</v>
      </c>
      <c r="I80" t="s">
        <v>403</v>
      </c>
      <c r="J80" t="s">
        <v>392</v>
      </c>
      <c r="K80">
        <v>0</v>
      </c>
      <c r="L80" s="2">
        <v>5300</v>
      </c>
      <c r="M80">
        <v>0</v>
      </c>
      <c r="N80">
        <v>5</v>
      </c>
      <c r="O80">
        <v>2</v>
      </c>
      <c r="P80">
        <v>0</v>
      </c>
      <c r="Q80">
        <v>20</v>
      </c>
      <c r="R80">
        <v>0</v>
      </c>
      <c r="S80">
        <v>1</v>
      </c>
      <c r="T80" s="2">
        <v>7</v>
      </c>
      <c r="U80">
        <v>0</v>
      </c>
      <c r="V80">
        <v>0</v>
      </c>
      <c r="W80">
        <v>1</v>
      </c>
      <c r="X80">
        <v>1</v>
      </c>
      <c r="Y80">
        <v>29</v>
      </c>
      <c r="Z80">
        <v>29</v>
      </c>
      <c r="AA80">
        <v>0.1</v>
      </c>
      <c r="AB80" t="s">
        <v>374</v>
      </c>
      <c r="AC80">
        <v>1</v>
      </c>
      <c r="AD80">
        <v>0</v>
      </c>
      <c r="AE80">
        <v>1000</v>
      </c>
      <c r="AF80">
        <v>0</v>
      </c>
      <c r="AG80">
        <v>-115</v>
      </c>
      <c r="AH80">
        <v>115</v>
      </c>
      <c r="AI80">
        <v>-2</v>
      </c>
      <c r="AJ80">
        <v>12</v>
      </c>
      <c r="AK80" t="s">
        <v>387</v>
      </c>
      <c r="AL80" t="s">
        <v>395</v>
      </c>
      <c r="AM80">
        <v>-72</v>
      </c>
      <c r="AN80">
        <v>-72</v>
      </c>
      <c r="AO80">
        <v>50</v>
      </c>
      <c r="AP80"/>
      <c r="AQ80">
        <v>1</v>
      </c>
      <c r="AT80" s="5" t="str">
        <f t="shared" si="12"/>
        <v>Blank</v>
      </c>
      <c r="AU80" s="5" t="str">
        <f t="shared" si="13"/>
        <v>Blank</v>
      </c>
      <c r="AV80" s="5" t="str">
        <f t="shared" si="14"/>
        <v/>
      </c>
      <c r="AY80" s="5" t="str">
        <f t="shared" si="15"/>
        <v>Blank</v>
      </c>
      <c r="AZ80" s="5" t="str">
        <f t="shared" si="16"/>
        <v>Blank</v>
      </c>
      <c r="BA80" s="5" t="str">
        <f t="shared" si="17"/>
        <v/>
      </c>
      <c r="BB80" s="5">
        <v>0.94</v>
      </c>
      <c r="BC80" s="5">
        <v>1</v>
      </c>
      <c r="BE80" s="5">
        <v>0.2</v>
      </c>
      <c r="BF80" s="5">
        <v>0.3</v>
      </c>
      <c r="BH80" s="5">
        <v>1</v>
      </c>
      <c r="BI80" s="5">
        <v>0</v>
      </c>
      <c r="BJ80" s="5">
        <v>0</v>
      </c>
      <c r="BK80" s="5" t="str">
        <f t="shared" si="18"/>
        <v>Zero</v>
      </c>
      <c r="BL80" s="5" t="str">
        <f t="shared" si="19"/>
        <v>Zero</v>
      </c>
      <c r="BM80" s="5" t="str">
        <f t="shared" si="20"/>
        <v/>
      </c>
      <c r="BN80" s="5">
        <v>0</v>
      </c>
      <c r="BO80" s="5">
        <v>0</v>
      </c>
      <c r="BP80" s="5" t="str">
        <f t="shared" si="21"/>
        <v>Zero</v>
      </c>
      <c r="BQ80" s="5" t="str">
        <f t="shared" si="22"/>
        <v>Zero</v>
      </c>
      <c r="BR80" s="5" t="str">
        <f t="shared" si="23"/>
        <v/>
      </c>
      <c r="CA80" t="str">
        <f>IF(OR(AV80="Diff",BA80="Diff",BM80="Diff",BR80="Diff"),"Diff","")</f>
        <v/>
      </c>
    </row>
    <row r="81" spans="1:79" x14ac:dyDescent="0.25">
      <c r="A81" t="s">
        <v>349</v>
      </c>
      <c r="B81" t="s">
        <v>167</v>
      </c>
      <c r="C81" t="s">
        <v>387</v>
      </c>
      <c r="D81" t="s">
        <v>388</v>
      </c>
      <c r="E81" s="2">
        <v>7</v>
      </c>
      <c r="F81" s="2">
        <v>8</v>
      </c>
      <c r="G81" t="s">
        <v>390</v>
      </c>
      <c r="H81" t="s">
        <v>384</v>
      </c>
      <c r="I81" t="s">
        <v>414</v>
      </c>
      <c r="J81" t="s">
        <v>392</v>
      </c>
      <c r="K81">
        <v>3500</v>
      </c>
      <c r="L81" t="s">
        <v>378</v>
      </c>
      <c r="M81">
        <v>0</v>
      </c>
      <c r="N81">
        <v>0</v>
      </c>
      <c r="O81">
        <v>0</v>
      </c>
      <c r="P81">
        <v>0</v>
      </c>
      <c r="Q81">
        <v>1</v>
      </c>
      <c r="R81">
        <v>1</v>
      </c>
      <c r="S81">
        <v>0</v>
      </c>
      <c r="T81">
        <v>0.9</v>
      </c>
      <c r="U81">
        <v>0</v>
      </c>
      <c r="V81">
        <v>0</v>
      </c>
      <c r="W81" s="2">
        <v>0.8</v>
      </c>
      <c r="X81">
        <v>1</v>
      </c>
      <c r="Y81" s="2">
        <v>105</v>
      </c>
      <c r="Z81" s="2">
        <v>105</v>
      </c>
      <c r="AA81">
        <v>0.5</v>
      </c>
      <c r="AB81" t="s">
        <v>374</v>
      </c>
      <c r="AC81">
        <v>0</v>
      </c>
      <c r="AD81">
        <v>0</v>
      </c>
      <c r="AE81">
        <v>0</v>
      </c>
      <c r="AF81" s="2">
        <v>3</v>
      </c>
      <c r="AG81">
        <v>-43</v>
      </c>
      <c r="AH81">
        <v>43</v>
      </c>
      <c r="AI81">
        <v>-10</v>
      </c>
      <c r="AJ81">
        <v>15</v>
      </c>
      <c r="AO81">
        <v>5</v>
      </c>
      <c r="AQ81">
        <v>1</v>
      </c>
      <c r="AR81" s="5" t="s">
        <v>471</v>
      </c>
      <c r="AS81" s="5" t="s">
        <v>472</v>
      </c>
      <c r="AT81" s="5" t="str">
        <f t="shared" si="12"/>
        <v>Number</v>
      </c>
      <c r="AU81" s="5" t="str">
        <f t="shared" si="13"/>
        <v>Number</v>
      </c>
      <c r="AV81" s="5" t="str">
        <f t="shared" si="14"/>
        <v>Diff</v>
      </c>
      <c r="AW81" s="5">
        <v>0.98</v>
      </c>
      <c r="AX81" s="5" t="s">
        <v>473</v>
      </c>
      <c r="AY81" s="5" t="str">
        <f t="shared" si="15"/>
        <v>Number</v>
      </c>
      <c r="AZ81" s="5" t="str">
        <f t="shared" si="16"/>
        <v>Number</v>
      </c>
      <c r="BA81" s="5" t="str">
        <f t="shared" si="17"/>
        <v>Diff</v>
      </c>
      <c r="BB81" s="5">
        <v>0.8</v>
      </c>
      <c r="BD81" s="5">
        <v>1.1000000000000001</v>
      </c>
      <c r="BE81" s="5">
        <v>0.5</v>
      </c>
      <c r="BF81" s="5">
        <v>0.8</v>
      </c>
      <c r="BH81" s="5">
        <v>1</v>
      </c>
      <c r="BI81" s="5">
        <v>0.08</v>
      </c>
      <c r="BJ81" s="5" t="s">
        <v>474</v>
      </c>
      <c r="BK81" s="5" t="str">
        <f t="shared" si="18"/>
        <v>Number</v>
      </c>
      <c r="BL81" s="5" t="str">
        <f t="shared" si="19"/>
        <v>Number</v>
      </c>
      <c r="BM81" s="5" t="str">
        <f t="shared" si="20"/>
        <v>Diff</v>
      </c>
      <c r="BN81" s="5">
        <v>0.20499999999999999</v>
      </c>
      <c r="BO81" s="5" t="s">
        <v>475</v>
      </c>
      <c r="BP81" s="5" t="str">
        <f t="shared" si="21"/>
        <v>Number</v>
      </c>
      <c r="BQ81" s="5" t="str">
        <f t="shared" si="22"/>
        <v>Number</v>
      </c>
      <c r="BR81" s="5" t="str">
        <f t="shared" si="23"/>
        <v>Diff</v>
      </c>
      <c r="BS81" s="5">
        <v>0.6</v>
      </c>
      <c r="BT81" s="5">
        <v>0.6</v>
      </c>
      <c r="BU81" s="5">
        <v>0.6</v>
      </c>
      <c r="BW81" s="5">
        <v>0.5</v>
      </c>
      <c r="BX81" s="5">
        <v>0.6</v>
      </c>
      <c r="CA81" t="str">
        <f>IF(OR(AV81="Diff",BA81="Diff",BM81="Diff",BR81="Diff"),"Diff","")</f>
        <v>Diff</v>
      </c>
    </row>
    <row r="82" spans="1:79" hidden="1" x14ac:dyDescent="0.25">
      <c r="A82" t="s">
        <v>350</v>
      </c>
      <c r="B82" t="s">
        <v>167</v>
      </c>
      <c r="C82" t="s">
        <v>387</v>
      </c>
      <c r="D82" t="s">
        <v>388</v>
      </c>
      <c r="E82" s="2">
        <v>12</v>
      </c>
      <c r="F82" s="2">
        <v>12</v>
      </c>
      <c r="G82" t="s">
        <v>383</v>
      </c>
      <c r="H82" t="s">
        <v>393</v>
      </c>
      <c r="I82" t="s">
        <v>422</v>
      </c>
      <c r="J82" t="s">
        <v>392</v>
      </c>
      <c r="K82">
        <v>0</v>
      </c>
      <c r="L82">
        <v>2575</v>
      </c>
      <c r="M82">
        <v>0</v>
      </c>
      <c r="N82">
        <v>0.5</v>
      </c>
      <c r="O82">
        <v>0</v>
      </c>
      <c r="P82">
        <v>0</v>
      </c>
      <c r="Q82">
        <v>2</v>
      </c>
      <c r="R82">
        <v>0</v>
      </c>
      <c r="S82">
        <v>0</v>
      </c>
      <c r="T82" s="2">
        <v>1</v>
      </c>
      <c r="U82" s="2">
        <v>1</v>
      </c>
      <c r="V82" s="2">
        <v>5</v>
      </c>
      <c r="W82">
        <v>1</v>
      </c>
      <c r="X82">
        <v>1</v>
      </c>
      <c r="Y82">
        <v>0</v>
      </c>
      <c r="Z82">
        <v>0</v>
      </c>
      <c r="AA82">
        <v>0.5</v>
      </c>
      <c r="AB82" t="s">
        <v>374</v>
      </c>
      <c r="AC82">
        <v>1</v>
      </c>
      <c r="AD82">
        <v>0</v>
      </c>
      <c r="AE82">
        <v>0</v>
      </c>
      <c r="AF82" s="2">
        <v>45</v>
      </c>
      <c r="AG82">
        <v>0</v>
      </c>
      <c r="AH82">
        <v>0</v>
      </c>
      <c r="AI82">
        <v>0</v>
      </c>
      <c r="AJ82">
        <v>0</v>
      </c>
      <c r="AO82">
        <v>5</v>
      </c>
      <c r="AP82"/>
      <c r="AQ82">
        <v>0</v>
      </c>
      <c r="AT82" s="5" t="str">
        <f t="shared" si="12"/>
        <v>Blank</v>
      </c>
      <c r="AU82" s="5" t="str">
        <f t="shared" si="13"/>
        <v>Blank</v>
      </c>
      <c r="AV82" s="5" t="str">
        <f t="shared" si="14"/>
        <v/>
      </c>
      <c r="AY82" s="5" t="str">
        <f t="shared" si="15"/>
        <v>Blank</v>
      </c>
      <c r="AZ82" s="5" t="str">
        <f t="shared" si="16"/>
        <v>Blank</v>
      </c>
      <c r="BA82" s="5" t="str">
        <f t="shared" si="17"/>
        <v/>
      </c>
      <c r="BH82" s="5">
        <v>0</v>
      </c>
      <c r="BK82" s="5" t="str">
        <f t="shared" si="18"/>
        <v>Blank</v>
      </c>
      <c r="BL82" s="5" t="str">
        <f t="shared" si="19"/>
        <v>Blank</v>
      </c>
      <c r="BM82" s="5" t="str">
        <f t="shared" si="20"/>
        <v/>
      </c>
      <c r="BP82" s="5" t="str">
        <f t="shared" si="21"/>
        <v>Blank</v>
      </c>
      <c r="BQ82" s="5" t="str">
        <f t="shared" si="22"/>
        <v>Blank</v>
      </c>
      <c r="BR82" s="5" t="str">
        <f t="shared" si="23"/>
        <v/>
      </c>
      <c r="CA82" t="str">
        <f>IF(OR(AV82="Diff",BA82="Diff",BM82="Diff",BR82="Diff"),"Diff","")</f>
        <v/>
      </c>
    </row>
    <row r="83" spans="1:79" hidden="1" x14ac:dyDescent="0.25">
      <c r="A83" t="s">
        <v>351</v>
      </c>
      <c r="B83" t="s">
        <v>167</v>
      </c>
      <c r="C83" t="s">
        <v>387</v>
      </c>
      <c r="D83" t="s">
        <v>388</v>
      </c>
      <c r="E83" s="2">
        <v>995</v>
      </c>
      <c r="F83" s="2">
        <v>995</v>
      </c>
      <c r="G83" t="s">
        <v>390</v>
      </c>
      <c r="H83" t="s">
        <v>384</v>
      </c>
      <c r="I83" t="s">
        <v>391</v>
      </c>
      <c r="J83" t="s">
        <v>392</v>
      </c>
      <c r="K83">
        <v>5000</v>
      </c>
      <c r="L83">
        <v>4500</v>
      </c>
      <c r="M83">
        <v>0</v>
      </c>
      <c r="N83">
        <v>0</v>
      </c>
      <c r="O83">
        <v>0</v>
      </c>
      <c r="P83">
        <v>0</v>
      </c>
      <c r="Q83">
        <v>1</v>
      </c>
      <c r="R83">
        <v>1</v>
      </c>
      <c r="S83">
        <v>1</v>
      </c>
      <c r="T83" s="2">
        <v>5.74</v>
      </c>
      <c r="U83">
        <v>0</v>
      </c>
      <c r="V83">
        <v>0</v>
      </c>
      <c r="W83">
        <v>1</v>
      </c>
      <c r="X83">
        <v>1</v>
      </c>
      <c r="Y83">
        <v>40</v>
      </c>
      <c r="Z83" s="2">
        <v>20</v>
      </c>
      <c r="AA83">
        <v>0.1</v>
      </c>
      <c r="AB83" t="s">
        <v>374</v>
      </c>
      <c r="AC83">
        <v>1</v>
      </c>
      <c r="AD83">
        <v>0</v>
      </c>
      <c r="AE83">
        <v>0</v>
      </c>
      <c r="AF83">
        <v>0</v>
      </c>
      <c r="AG83">
        <v>-155</v>
      </c>
      <c r="AH83">
        <v>155</v>
      </c>
      <c r="AI83">
        <v>-11</v>
      </c>
      <c r="AJ83">
        <v>45</v>
      </c>
      <c r="AO83">
        <v>30</v>
      </c>
      <c r="AP83"/>
      <c r="AQ83">
        <v>1</v>
      </c>
      <c r="AT83" s="5" t="str">
        <f t="shared" si="12"/>
        <v>Blank</v>
      </c>
      <c r="AU83" s="5" t="str">
        <f t="shared" si="13"/>
        <v>Blank</v>
      </c>
      <c r="AV83" s="5" t="str">
        <f t="shared" si="14"/>
        <v/>
      </c>
      <c r="AY83" s="5" t="str">
        <f t="shared" si="15"/>
        <v>Blank</v>
      </c>
      <c r="AZ83" s="5" t="str">
        <f t="shared" si="16"/>
        <v>Blank</v>
      </c>
      <c r="BA83" s="5" t="str">
        <f t="shared" si="17"/>
        <v/>
      </c>
      <c r="BB83" s="5">
        <v>0.94</v>
      </c>
      <c r="BC83" s="5">
        <v>1</v>
      </c>
      <c r="BE83" s="5">
        <v>0.45</v>
      </c>
      <c r="BF83" s="5">
        <v>0.3</v>
      </c>
      <c r="BH83" s="5">
        <v>1</v>
      </c>
      <c r="BI83" s="5">
        <v>0.1</v>
      </c>
      <c r="BJ83" s="5">
        <v>0.1</v>
      </c>
      <c r="BK83" s="5" t="str">
        <f t="shared" si="18"/>
        <v>Number</v>
      </c>
      <c r="BL83" s="5" t="str">
        <f t="shared" si="19"/>
        <v>Number</v>
      </c>
      <c r="BM83" s="5" t="str">
        <f t="shared" si="20"/>
        <v/>
      </c>
      <c r="BN83" s="5">
        <v>0.05</v>
      </c>
      <c r="BO83" s="5">
        <v>0.05</v>
      </c>
      <c r="BP83" s="5" t="str">
        <f t="shared" si="21"/>
        <v>Number</v>
      </c>
      <c r="BQ83" s="5" t="str">
        <f t="shared" si="22"/>
        <v>Number</v>
      </c>
      <c r="BR83" s="5" t="str">
        <f t="shared" si="23"/>
        <v/>
      </c>
      <c r="BS83" s="5">
        <v>0.9</v>
      </c>
      <c r="BT83" s="5">
        <v>0.9</v>
      </c>
      <c r="BU83" s="5">
        <v>0.9</v>
      </c>
      <c r="BW83" s="5">
        <v>0.75</v>
      </c>
      <c r="CA83" t="str">
        <f>IF(OR(AV83="Diff",BA83="Diff",BM83="Diff",BR83="Diff"),"Diff","")</f>
        <v/>
      </c>
    </row>
    <row r="84" spans="1:79" hidden="1" x14ac:dyDescent="0.25">
      <c r="A84" t="s">
        <v>352</v>
      </c>
      <c r="B84" t="s">
        <v>167</v>
      </c>
      <c r="C84" t="s">
        <v>387</v>
      </c>
      <c r="D84" t="s">
        <v>388</v>
      </c>
      <c r="E84" s="2">
        <v>1900</v>
      </c>
      <c r="F84" s="2">
        <v>1900</v>
      </c>
      <c r="G84" t="s">
        <v>383</v>
      </c>
      <c r="H84" t="s">
        <v>393</v>
      </c>
      <c r="I84" t="s">
        <v>403</v>
      </c>
      <c r="J84" t="s">
        <v>392</v>
      </c>
      <c r="K84">
        <v>0</v>
      </c>
      <c r="L84">
        <v>4500</v>
      </c>
      <c r="M84">
        <v>0</v>
      </c>
      <c r="N84">
        <v>4</v>
      </c>
      <c r="O84">
        <v>2</v>
      </c>
      <c r="P84">
        <v>0</v>
      </c>
      <c r="Q84">
        <v>20</v>
      </c>
      <c r="R84">
        <v>0</v>
      </c>
      <c r="S84">
        <v>1</v>
      </c>
      <c r="T84" s="2">
        <v>12</v>
      </c>
      <c r="U84">
        <v>0</v>
      </c>
      <c r="V84">
        <v>0</v>
      </c>
      <c r="W84" s="2">
        <v>1</v>
      </c>
      <c r="X84">
        <v>0</v>
      </c>
      <c r="Y84" s="2">
        <v>35</v>
      </c>
      <c r="Z84" s="2">
        <v>20</v>
      </c>
      <c r="AA84">
        <v>0.1</v>
      </c>
      <c r="AB84" t="s">
        <v>374</v>
      </c>
      <c r="AC84">
        <v>0</v>
      </c>
      <c r="AD84">
        <v>0</v>
      </c>
      <c r="AE84">
        <v>0</v>
      </c>
      <c r="AF84">
        <v>14</v>
      </c>
      <c r="AG84">
        <v>0</v>
      </c>
      <c r="AH84">
        <v>0</v>
      </c>
      <c r="AI84">
        <v>0</v>
      </c>
      <c r="AJ84">
        <v>0</v>
      </c>
      <c r="AK84" t="s">
        <v>387</v>
      </c>
      <c r="AL84" t="s">
        <v>395</v>
      </c>
      <c r="AM84">
        <v>-25</v>
      </c>
      <c r="AN84">
        <v>-25</v>
      </c>
      <c r="AO84" s="2">
        <v>15</v>
      </c>
      <c r="AP84" s="2"/>
      <c r="AQ84">
        <v>1</v>
      </c>
      <c r="AT84" s="5" t="str">
        <f t="shared" si="12"/>
        <v>Blank</v>
      </c>
      <c r="AU84" s="5" t="str">
        <f t="shared" si="13"/>
        <v>Blank</v>
      </c>
      <c r="AV84" s="5" t="str">
        <f t="shared" si="14"/>
        <v/>
      </c>
      <c r="AY84" s="5" t="str">
        <f t="shared" si="15"/>
        <v>Blank</v>
      </c>
      <c r="AZ84" s="5" t="str">
        <f t="shared" si="16"/>
        <v>Blank</v>
      </c>
      <c r="BA84" s="5" t="str">
        <f t="shared" si="17"/>
        <v/>
      </c>
      <c r="BB84" s="5">
        <v>1</v>
      </c>
      <c r="BC84" s="5">
        <v>0.9</v>
      </c>
      <c r="BE84" s="5">
        <v>0.2</v>
      </c>
      <c r="BF84" s="5">
        <v>0.3</v>
      </c>
      <c r="BH84" s="5">
        <v>1</v>
      </c>
      <c r="BI84" s="5">
        <v>0.08</v>
      </c>
      <c r="BJ84" s="5">
        <v>0.08</v>
      </c>
      <c r="BK84" s="5" t="str">
        <f t="shared" si="18"/>
        <v>Number</v>
      </c>
      <c r="BL84" s="5" t="str">
        <f t="shared" si="19"/>
        <v>Number</v>
      </c>
      <c r="BM84" s="5" t="str">
        <f t="shared" si="20"/>
        <v/>
      </c>
      <c r="BN84" s="5">
        <v>0.04</v>
      </c>
      <c r="BO84" s="5">
        <v>0.04</v>
      </c>
      <c r="BP84" s="5" t="str">
        <f t="shared" si="21"/>
        <v>Number</v>
      </c>
      <c r="BQ84" s="5" t="str">
        <f t="shared" si="22"/>
        <v>Number</v>
      </c>
      <c r="BR84" s="5" t="str">
        <f t="shared" si="23"/>
        <v/>
      </c>
      <c r="BS84" s="5">
        <v>0.9</v>
      </c>
      <c r="BT84" s="5">
        <v>0.8</v>
      </c>
      <c r="BU84" s="5">
        <v>0.8</v>
      </c>
      <c r="CA84" t="str">
        <f>IF(OR(AV84="Diff",BA84="Diff",BM84="Diff",BR84="Diff"),"Diff","")</f>
        <v/>
      </c>
    </row>
    <row r="85" spans="1:79" x14ac:dyDescent="0.25">
      <c r="A85" t="s">
        <v>353</v>
      </c>
      <c r="B85" t="s">
        <v>167</v>
      </c>
      <c r="C85" t="s">
        <v>387</v>
      </c>
      <c r="D85" t="s">
        <v>388</v>
      </c>
      <c r="E85" s="2">
        <v>130</v>
      </c>
      <c r="F85" s="2">
        <v>130</v>
      </c>
      <c r="G85" t="s">
        <v>396</v>
      </c>
      <c r="H85" t="s">
        <v>397</v>
      </c>
      <c r="I85" t="s">
        <v>436</v>
      </c>
      <c r="J85" t="s">
        <v>392</v>
      </c>
      <c r="K85" s="2">
        <v>350</v>
      </c>
      <c r="L85">
        <v>4500</v>
      </c>
      <c r="M85">
        <v>0</v>
      </c>
      <c r="N85">
        <v>0</v>
      </c>
      <c r="O85">
        <v>0</v>
      </c>
      <c r="P85">
        <v>0</v>
      </c>
      <c r="Q85">
        <v>1</v>
      </c>
      <c r="R85">
        <v>0</v>
      </c>
      <c r="S85">
        <v>1</v>
      </c>
      <c r="T85" s="2">
        <v>2.75</v>
      </c>
      <c r="U85">
        <v>0</v>
      </c>
      <c r="V85">
        <v>0</v>
      </c>
      <c r="W85">
        <v>1</v>
      </c>
      <c r="X85">
        <v>0</v>
      </c>
      <c r="Y85">
        <v>0</v>
      </c>
      <c r="Z85">
        <v>0</v>
      </c>
      <c r="AA85">
        <v>0.1</v>
      </c>
      <c r="AB85" t="s">
        <v>374</v>
      </c>
      <c r="AC85">
        <v>0</v>
      </c>
      <c r="AD85">
        <v>0</v>
      </c>
      <c r="AE85">
        <v>0</v>
      </c>
      <c r="AF85">
        <v>155</v>
      </c>
      <c r="AG85">
        <v>0</v>
      </c>
      <c r="AH85">
        <v>0</v>
      </c>
      <c r="AI85">
        <v>0</v>
      </c>
      <c r="AJ85">
        <v>0</v>
      </c>
      <c r="AO85" s="2">
        <v>15</v>
      </c>
      <c r="AQ85">
        <v>0.5</v>
      </c>
      <c r="AR85" s="5">
        <v>0.24</v>
      </c>
      <c r="AS85" s="5">
        <v>1.25</v>
      </c>
      <c r="AT85" s="5" t="str">
        <f t="shared" si="12"/>
        <v>Number</v>
      </c>
      <c r="AU85" s="5" t="str">
        <f t="shared" si="13"/>
        <v>Number</v>
      </c>
      <c r="AV85" s="5" t="str">
        <f t="shared" si="14"/>
        <v>Diff</v>
      </c>
      <c r="AW85" s="5">
        <v>1.25</v>
      </c>
      <c r="AX85" s="5">
        <v>2.5</v>
      </c>
      <c r="AY85" s="5" t="str">
        <f t="shared" si="15"/>
        <v>Number</v>
      </c>
      <c r="AZ85" s="5" t="str">
        <f t="shared" si="16"/>
        <v>Number</v>
      </c>
      <c r="BA85" s="5" t="str">
        <f t="shared" si="17"/>
        <v>Diff</v>
      </c>
      <c r="BB85" s="5">
        <v>0.98</v>
      </c>
      <c r="BC85" s="5">
        <v>1.25</v>
      </c>
      <c r="BD85" s="5">
        <v>0.74</v>
      </c>
      <c r="BE85" s="5">
        <v>0.76</v>
      </c>
      <c r="BG85" s="5">
        <v>1</v>
      </c>
      <c r="BH85" s="5">
        <v>1</v>
      </c>
      <c r="BI85" s="5">
        <v>1</v>
      </c>
      <c r="BJ85" s="5">
        <v>1</v>
      </c>
      <c r="BK85" s="5" t="str">
        <f t="shared" si="18"/>
        <v>Number</v>
      </c>
      <c r="BL85" s="5" t="str">
        <f t="shared" si="19"/>
        <v>Number</v>
      </c>
      <c r="BM85" s="5" t="str">
        <f t="shared" si="20"/>
        <v/>
      </c>
      <c r="BN85" s="5">
        <v>1</v>
      </c>
      <c r="BO85" s="5">
        <v>1</v>
      </c>
      <c r="BP85" s="5" t="str">
        <f t="shared" si="21"/>
        <v>Number</v>
      </c>
      <c r="BQ85" s="5" t="str">
        <f t="shared" si="22"/>
        <v>Number</v>
      </c>
      <c r="BR85" s="5" t="str">
        <f t="shared" si="23"/>
        <v/>
      </c>
      <c r="CA85" t="str">
        <f>IF(OR(AV85="Diff",BA85="Diff",BM85="Diff",BR85="Diff"),"Diff","")</f>
        <v>Diff</v>
      </c>
    </row>
    <row r="86" spans="1:79" x14ac:dyDescent="0.25">
      <c r="A86" t="s">
        <v>354</v>
      </c>
      <c r="B86" t="s">
        <v>167</v>
      </c>
      <c r="C86" t="s">
        <v>387</v>
      </c>
      <c r="D86" t="s">
        <v>388</v>
      </c>
      <c r="E86" s="2">
        <v>260</v>
      </c>
      <c r="F86" s="2">
        <v>260</v>
      </c>
      <c r="G86" t="s">
        <v>396</v>
      </c>
      <c r="H86" t="s">
        <v>397</v>
      </c>
      <c r="I86" t="s">
        <v>437</v>
      </c>
      <c r="J86" t="s">
        <v>386</v>
      </c>
      <c r="K86" s="2">
        <v>675</v>
      </c>
      <c r="L86">
        <v>4500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1</v>
      </c>
      <c r="T86" s="2">
        <v>30</v>
      </c>
      <c r="U86">
        <v>0</v>
      </c>
      <c r="V86">
        <v>0</v>
      </c>
      <c r="W86">
        <v>1</v>
      </c>
      <c r="X86">
        <v>0</v>
      </c>
      <c r="Y86">
        <v>0</v>
      </c>
      <c r="Z86">
        <v>0</v>
      </c>
      <c r="AA86">
        <v>0.1</v>
      </c>
      <c r="AB86" t="s">
        <v>374</v>
      </c>
      <c r="AC86">
        <v>0</v>
      </c>
      <c r="AD86">
        <v>0</v>
      </c>
      <c r="AE86">
        <v>0</v>
      </c>
      <c r="AF86">
        <v>155</v>
      </c>
      <c r="AG86">
        <v>0</v>
      </c>
      <c r="AH86">
        <v>0</v>
      </c>
      <c r="AI86">
        <v>0</v>
      </c>
      <c r="AJ86">
        <v>0</v>
      </c>
      <c r="AO86" s="2">
        <v>25</v>
      </c>
      <c r="AQ86">
        <v>0.5</v>
      </c>
      <c r="AR86" s="5">
        <v>0.24</v>
      </c>
      <c r="AS86" s="5">
        <v>1.25</v>
      </c>
      <c r="AT86" s="5" t="str">
        <f t="shared" si="12"/>
        <v>Number</v>
      </c>
      <c r="AU86" s="5" t="str">
        <f t="shared" si="13"/>
        <v>Number</v>
      </c>
      <c r="AV86" s="5" t="str">
        <f t="shared" si="14"/>
        <v>Diff</v>
      </c>
      <c r="AW86" s="5">
        <v>0.82</v>
      </c>
      <c r="AX86" s="5">
        <v>2.5</v>
      </c>
      <c r="AY86" s="5" t="str">
        <f t="shared" si="15"/>
        <v>Number</v>
      </c>
      <c r="AZ86" s="5" t="str">
        <f t="shared" si="16"/>
        <v>Number</v>
      </c>
      <c r="BA86" s="5" t="str">
        <f t="shared" si="17"/>
        <v>Diff</v>
      </c>
      <c r="BB86" s="5">
        <v>0.98</v>
      </c>
      <c r="BC86" s="5">
        <v>1</v>
      </c>
      <c r="BD86" s="5">
        <v>0.32</v>
      </c>
      <c r="BE86" s="5">
        <v>0.32</v>
      </c>
      <c r="BG86" s="5">
        <v>1</v>
      </c>
      <c r="BH86" s="5">
        <v>1</v>
      </c>
      <c r="BI86" s="5">
        <v>1</v>
      </c>
      <c r="BJ86" s="5">
        <v>1</v>
      </c>
      <c r="BK86" s="5" t="str">
        <f t="shared" si="18"/>
        <v>Number</v>
      </c>
      <c r="BL86" s="5" t="str">
        <f t="shared" si="19"/>
        <v>Number</v>
      </c>
      <c r="BM86" s="5" t="str">
        <f t="shared" si="20"/>
        <v/>
      </c>
      <c r="BN86" s="5">
        <v>1</v>
      </c>
      <c r="BO86" s="5">
        <v>1</v>
      </c>
      <c r="BP86" s="5" t="str">
        <f t="shared" si="21"/>
        <v>Number</v>
      </c>
      <c r="BQ86" s="5" t="str">
        <f t="shared" si="22"/>
        <v>Number</v>
      </c>
      <c r="BR86" s="5" t="str">
        <f t="shared" si="23"/>
        <v/>
      </c>
      <c r="CA86" t="str">
        <f>IF(OR(AV86="Diff",BA86="Diff",BM86="Diff",BR86="Diff"),"Diff","")</f>
        <v>Diff</v>
      </c>
    </row>
    <row r="87" spans="1:79" hidden="1" x14ac:dyDescent="0.25">
      <c r="A87" t="s">
        <v>357</v>
      </c>
      <c r="B87" t="s">
        <v>167</v>
      </c>
      <c r="C87" t="s">
        <v>387</v>
      </c>
      <c r="D87" t="s">
        <v>409</v>
      </c>
      <c r="E87">
        <v>0</v>
      </c>
      <c r="F87">
        <v>0</v>
      </c>
      <c r="G87" t="s">
        <v>390</v>
      </c>
      <c r="H87" t="s">
        <v>384</v>
      </c>
      <c r="I87" t="s">
        <v>408</v>
      </c>
      <c r="J87" t="s">
        <v>386</v>
      </c>
      <c r="K87" s="2">
        <v>1000</v>
      </c>
      <c r="L87" t="s">
        <v>379</v>
      </c>
      <c r="M87">
        <v>0</v>
      </c>
      <c r="N87">
        <v>0</v>
      </c>
      <c r="O87">
        <v>0</v>
      </c>
      <c r="P87">
        <v>0</v>
      </c>
      <c r="Q87">
        <v>1</v>
      </c>
      <c r="R87">
        <v>1</v>
      </c>
      <c r="S87">
        <v>0</v>
      </c>
      <c r="T87">
        <v>37</v>
      </c>
      <c r="U87">
        <v>0</v>
      </c>
      <c r="V87">
        <v>0</v>
      </c>
      <c r="W87">
        <v>0</v>
      </c>
      <c r="X87">
        <v>0</v>
      </c>
      <c r="Y87" s="2">
        <v>50</v>
      </c>
      <c r="Z87" s="2">
        <v>50</v>
      </c>
      <c r="AA87">
        <v>0.1</v>
      </c>
      <c r="AB87" t="s">
        <v>374</v>
      </c>
      <c r="AC87">
        <v>0</v>
      </c>
      <c r="AD87">
        <v>0</v>
      </c>
      <c r="AE87">
        <v>0</v>
      </c>
      <c r="AF87">
        <v>0</v>
      </c>
      <c r="AG87">
        <v>-7</v>
      </c>
      <c r="AH87">
        <v>36</v>
      </c>
      <c r="AI87">
        <v>0</v>
      </c>
      <c r="AJ87">
        <v>0</v>
      </c>
      <c r="AK87" t="s">
        <v>410</v>
      </c>
      <c r="AL87" t="s">
        <v>409</v>
      </c>
      <c r="AM87">
        <v>0</v>
      </c>
      <c r="AN87">
        <v>0</v>
      </c>
      <c r="AO87">
        <v>5</v>
      </c>
      <c r="AP87"/>
      <c r="AQ87">
        <v>1</v>
      </c>
      <c r="AR87" s="5">
        <v>0.75</v>
      </c>
      <c r="AS87" s="5">
        <v>0.75</v>
      </c>
      <c r="AT87" s="5" t="str">
        <f t="shared" si="12"/>
        <v>Number</v>
      </c>
      <c r="AU87" s="5" t="str">
        <f t="shared" si="13"/>
        <v>Number</v>
      </c>
      <c r="AV87" s="5" t="str">
        <f t="shared" si="14"/>
        <v/>
      </c>
      <c r="AW87" s="5">
        <v>0.75</v>
      </c>
      <c r="AX87" s="5">
        <v>0.75</v>
      </c>
      <c r="AY87" s="5" t="str">
        <f t="shared" si="15"/>
        <v>Number</v>
      </c>
      <c r="AZ87" s="5" t="str">
        <f t="shared" si="16"/>
        <v>Number</v>
      </c>
      <c r="BA87" s="5" t="str">
        <f t="shared" si="17"/>
        <v/>
      </c>
      <c r="BB87" s="5">
        <v>0.88</v>
      </c>
      <c r="BC87" s="5">
        <v>1.1299999999999999</v>
      </c>
      <c r="BD87" s="5">
        <v>0.4</v>
      </c>
      <c r="BE87" s="5">
        <v>0.12</v>
      </c>
      <c r="BF87" s="5">
        <v>0.35</v>
      </c>
      <c r="BH87" s="5">
        <v>1</v>
      </c>
      <c r="BI87" s="5">
        <v>1.4999999999999999E-2</v>
      </c>
      <c r="BJ87" s="5">
        <v>1.4999999999999999E-2</v>
      </c>
      <c r="BK87" s="5" t="str">
        <f t="shared" si="18"/>
        <v>Number</v>
      </c>
      <c r="BL87" s="5" t="str">
        <f t="shared" si="19"/>
        <v>Number</v>
      </c>
      <c r="BM87" s="5" t="str">
        <f t="shared" si="20"/>
        <v/>
      </c>
      <c r="BN87" s="5">
        <v>1.4999999999999999E-2</v>
      </c>
      <c r="BO87" s="5">
        <v>1.4999999999999999E-2</v>
      </c>
      <c r="BP87" s="5" t="str">
        <f t="shared" si="21"/>
        <v>Number</v>
      </c>
      <c r="BQ87" s="5" t="str">
        <f t="shared" si="22"/>
        <v>Number</v>
      </c>
      <c r="BR87" s="5" t="str">
        <f t="shared" si="23"/>
        <v/>
      </c>
      <c r="BS87" s="5">
        <v>0.78</v>
      </c>
      <c r="BT87" s="5">
        <v>0.68</v>
      </c>
      <c r="BU87" s="5">
        <v>0.68</v>
      </c>
      <c r="BX87" s="5">
        <v>0.5</v>
      </c>
      <c r="CA87" t="str">
        <f>IF(OR(AV87="Diff",BA87="Diff",BM87="Diff",BR87="Diff"),"Diff","")</f>
        <v/>
      </c>
    </row>
    <row r="88" spans="1:79" hidden="1" x14ac:dyDescent="0.25">
      <c r="A88" t="s">
        <v>358</v>
      </c>
      <c r="B88" t="s">
        <v>167</v>
      </c>
      <c r="C88" t="s">
        <v>387</v>
      </c>
      <c r="D88" t="s">
        <v>409</v>
      </c>
      <c r="E88">
        <v>0</v>
      </c>
      <c r="F88">
        <v>0</v>
      </c>
      <c r="G88" t="s">
        <v>390</v>
      </c>
      <c r="H88" t="s">
        <v>384</v>
      </c>
      <c r="I88" t="s">
        <v>408</v>
      </c>
      <c r="J88" t="s">
        <v>386</v>
      </c>
      <c r="K88" s="2">
        <v>1000</v>
      </c>
      <c r="L88" t="s">
        <v>379</v>
      </c>
      <c r="M88">
        <v>0</v>
      </c>
      <c r="N88">
        <v>0</v>
      </c>
      <c r="O88">
        <v>0</v>
      </c>
      <c r="P88">
        <v>0</v>
      </c>
      <c r="Q88">
        <v>1</v>
      </c>
      <c r="R88">
        <v>1</v>
      </c>
      <c r="S88">
        <v>0</v>
      </c>
      <c r="T88">
        <v>37</v>
      </c>
      <c r="U88">
        <v>0</v>
      </c>
      <c r="V88">
        <v>0</v>
      </c>
      <c r="W88">
        <v>0</v>
      </c>
      <c r="X88">
        <v>0</v>
      </c>
      <c r="Y88" s="2">
        <v>50</v>
      </c>
      <c r="Z88" s="2">
        <v>50</v>
      </c>
      <c r="AA88">
        <v>0.1</v>
      </c>
      <c r="AB88" t="s">
        <v>374</v>
      </c>
      <c r="AC88">
        <v>0</v>
      </c>
      <c r="AD88">
        <v>0</v>
      </c>
      <c r="AE88">
        <v>0</v>
      </c>
      <c r="AF88">
        <v>0</v>
      </c>
      <c r="AG88">
        <v>-36</v>
      </c>
      <c r="AH88">
        <v>7</v>
      </c>
      <c r="AI88">
        <v>0</v>
      </c>
      <c r="AJ88">
        <v>0</v>
      </c>
      <c r="AK88" t="s">
        <v>410</v>
      </c>
      <c r="AL88" t="s">
        <v>409</v>
      </c>
      <c r="AM88">
        <v>0</v>
      </c>
      <c r="AN88">
        <v>0</v>
      </c>
      <c r="AO88">
        <v>5</v>
      </c>
      <c r="AP88"/>
      <c r="AQ88">
        <v>1</v>
      </c>
      <c r="AR88" s="5">
        <v>0.75</v>
      </c>
      <c r="AS88" s="5">
        <v>0.75</v>
      </c>
      <c r="AT88" s="5" t="str">
        <f t="shared" si="12"/>
        <v>Number</v>
      </c>
      <c r="AU88" s="5" t="str">
        <f t="shared" si="13"/>
        <v>Number</v>
      </c>
      <c r="AV88" s="5" t="str">
        <f t="shared" si="14"/>
        <v/>
      </c>
      <c r="AW88" s="5">
        <v>0.75</v>
      </c>
      <c r="AX88" s="5">
        <v>0.75</v>
      </c>
      <c r="AY88" s="5" t="str">
        <f t="shared" si="15"/>
        <v>Number</v>
      </c>
      <c r="AZ88" s="5" t="str">
        <f t="shared" si="16"/>
        <v>Number</v>
      </c>
      <c r="BA88" s="5" t="str">
        <f t="shared" si="17"/>
        <v/>
      </c>
      <c r="BB88" s="5">
        <v>0.88</v>
      </c>
      <c r="BC88" s="5">
        <v>1.1299999999999999</v>
      </c>
      <c r="BD88" s="5">
        <v>0.4</v>
      </c>
      <c r="BE88" s="5">
        <v>0.12</v>
      </c>
      <c r="BF88" s="5">
        <v>0.35</v>
      </c>
      <c r="BH88" s="5">
        <v>1</v>
      </c>
      <c r="BI88" s="5">
        <v>1.4999999999999999E-2</v>
      </c>
      <c r="BJ88" s="5">
        <v>1.4999999999999999E-2</v>
      </c>
      <c r="BK88" s="5" t="str">
        <f t="shared" si="18"/>
        <v>Number</v>
      </c>
      <c r="BL88" s="5" t="str">
        <f t="shared" si="19"/>
        <v>Number</v>
      </c>
      <c r="BM88" s="5" t="str">
        <f t="shared" si="20"/>
        <v/>
      </c>
      <c r="BN88" s="5">
        <v>1.4999999999999999E-2</v>
      </c>
      <c r="BO88" s="5">
        <v>1.4999999999999999E-2</v>
      </c>
      <c r="BP88" s="5" t="str">
        <f t="shared" si="21"/>
        <v>Number</v>
      </c>
      <c r="BQ88" s="5" t="str">
        <f t="shared" si="22"/>
        <v>Number</v>
      </c>
      <c r="BR88" s="5" t="str">
        <f t="shared" si="23"/>
        <v/>
      </c>
      <c r="BS88" s="5">
        <v>0.78</v>
      </c>
      <c r="BT88" s="5">
        <v>0.68</v>
      </c>
      <c r="BU88" s="5">
        <v>0.68</v>
      </c>
      <c r="BX88" s="5">
        <v>0.5</v>
      </c>
      <c r="CA88" t="str">
        <f>IF(OR(AV88="Diff",BA88="Diff",BM88="Diff",BR88="Diff"),"Diff","")</f>
        <v/>
      </c>
    </row>
    <row r="89" spans="1:79" x14ac:dyDescent="0.25">
      <c r="A89" t="s">
        <v>359</v>
      </c>
      <c r="B89" t="s">
        <v>167</v>
      </c>
      <c r="C89" t="s">
        <v>387</v>
      </c>
      <c r="D89" t="s">
        <v>388</v>
      </c>
      <c r="E89" s="2">
        <v>62</v>
      </c>
      <c r="F89" s="2">
        <v>78</v>
      </c>
      <c r="G89" t="s">
        <v>396</v>
      </c>
      <c r="H89" t="s">
        <v>400</v>
      </c>
      <c r="I89" t="s">
        <v>401</v>
      </c>
      <c r="J89" t="s">
        <v>392</v>
      </c>
      <c r="K89">
        <v>0</v>
      </c>
      <c r="L89">
        <v>0</v>
      </c>
      <c r="M89" s="2">
        <v>40</v>
      </c>
      <c r="N89">
        <v>2</v>
      </c>
      <c r="O89">
        <v>0</v>
      </c>
      <c r="P89">
        <v>0</v>
      </c>
      <c r="Q89" s="2">
        <v>10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0.1</v>
      </c>
      <c r="AB89" t="s">
        <v>374</v>
      </c>
      <c r="AC89">
        <v>1</v>
      </c>
      <c r="AD89">
        <v>0</v>
      </c>
      <c r="AE89">
        <v>0</v>
      </c>
      <c r="AF89">
        <v>180</v>
      </c>
      <c r="AG89">
        <v>0</v>
      </c>
      <c r="AH89">
        <v>0</v>
      </c>
      <c r="AI89">
        <v>0</v>
      </c>
      <c r="AJ89">
        <v>0</v>
      </c>
      <c r="AO89">
        <v>5</v>
      </c>
      <c r="AQ89">
        <v>1</v>
      </c>
      <c r="AR89" s="5">
        <v>1</v>
      </c>
      <c r="AS89" s="5">
        <v>1</v>
      </c>
      <c r="AT89" s="5" t="str">
        <f t="shared" si="12"/>
        <v>Number</v>
      </c>
      <c r="AU89" s="5" t="str">
        <f t="shared" si="13"/>
        <v>Number</v>
      </c>
      <c r="AV89" s="5" t="str">
        <f t="shared" si="14"/>
        <v/>
      </c>
      <c r="AW89" s="5">
        <v>1</v>
      </c>
      <c r="AX89" s="5">
        <v>2</v>
      </c>
      <c r="AY89" s="5" t="str">
        <f t="shared" si="15"/>
        <v>Number</v>
      </c>
      <c r="AZ89" s="5" t="str">
        <f t="shared" si="16"/>
        <v>Number</v>
      </c>
      <c r="BA89" s="5" t="str">
        <f t="shared" si="17"/>
        <v>Diff</v>
      </c>
      <c r="BB89" s="5">
        <v>0.9</v>
      </c>
      <c r="BC89" s="5">
        <v>1</v>
      </c>
      <c r="BD89" s="5">
        <v>0.84</v>
      </c>
      <c r="BE89" s="5">
        <v>1</v>
      </c>
      <c r="BF89" s="5">
        <v>0.9</v>
      </c>
      <c r="BK89" s="5" t="str">
        <f t="shared" si="18"/>
        <v>Blank</v>
      </c>
      <c r="BL89" s="5" t="str">
        <f t="shared" si="19"/>
        <v>Blank</v>
      </c>
      <c r="BM89" s="5" t="str">
        <f t="shared" si="20"/>
        <v/>
      </c>
      <c r="BP89" s="5" t="str">
        <f t="shared" si="21"/>
        <v>Blank</v>
      </c>
      <c r="BQ89" s="5" t="str">
        <f t="shared" si="22"/>
        <v>Blank</v>
      </c>
      <c r="BR89" s="5" t="str">
        <f t="shared" si="23"/>
        <v/>
      </c>
      <c r="CA89" t="str">
        <f>IF(OR(AV89="Diff",BA89="Diff",BM89="Diff",BR89="Diff"),"Diff","")</f>
        <v>Diff</v>
      </c>
    </row>
    <row r="90" spans="1:79" x14ac:dyDescent="0.25">
      <c r="A90" t="s">
        <v>355</v>
      </c>
      <c r="B90" t="s">
        <v>167</v>
      </c>
      <c r="C90" t="s">
        <v>387</v>
      </c>
      <c r="D90" t="s">
        <v>388</v>
      </c>
      <c r="E90" s="2">
        <v>48</v>
      </c>
      <c r="F90" s="2">
        <v>52</v>
      </c>
      <c r="G90" t="s">
        <v>390</v>
      </c>
      <c r="H90" t="s">
        <v>384</v>
      </c>
      <c r="I90" t="s">
        <v>414</v>
      </c>
      <c r="J90" t="s">
        <v>392</v>
      </c>
      <c r="K90" s="2">
        <v>3300</v>
      </c>
      <c r="L90" s="2">
        <v>1500</v>
      </c>
      <c r="M90">
        <v>0</v>
      </c>
      <c r="N90">
        <v>0</v>
      </c>
      <c r="O90">
        <v>0</v>
      </c>
      <c r="P90">
        <v>0</v>
      </c>
      <c r="Q90">
        <v>1</v>
      </c>
      <c r="R90">
        <v>1</v>
      </c>
      <c r="S90">
        <v>1</v>
      </c>
      <c r="T90" s="2">
        <v>2</v>
      </c>
      <c r="U90">
        <v>0</v>
      </c>
      <c r="V90">
        <v>0</v>
      </c>
      <c r="W90">
        <v>1</v>
      </c>
      <c r="X90">
        <v>0</v>
      </c>
      <c r="Y90" s="2">
        <v>75</v>
      </c>
      <c r="Z90" s="2">
        <v>75</v>
      </c>
      <c r="AA90">
        <v>0.1</v>
      </c>
      <c r="AB90" t="s">
        <v>374</v>
      </c>
      <c r="AC90">
        <v>1</v>
      </c>
      <c r="AD90">
        <v>0</v>
      </c>
      <c r="AE90">
        <v>0</v>
      </c>
      <c r="AF90">
        <v>0</v>
      </c>
      <c r="AG90">
        <v>-7</v>
      </c>
      <c r="AH90">
        <v>36</v>
      </c>
      <c r="AI90">
        <v>0</v>
      </c>
      <c r="AJ90">
        <v>0</v>
      </c>
      <c r="AO90">
        <v>5</v>
      </c>
      <c r="AQ90">
        <v>1</v>
      </c>
      <c r="AR90" s="5">
        <v>0.4</v>
      </c>
      <c r="AS90" s="5">
        <v>0.8</v>
      </c>
      <c r="AT90" s="5" t="str">
        <f t="shared" si="12"/>
        <v>Number</v>
      </c>
      <c r="AU90" s="5" t="str">
        <f t="shared" si="13"/>
        <v>Number</v>
      </c>
      <c r="AV90" s="5" t="str">
        <f t="shared" si="14"/>
        <v>Diff</v>
      </c>
      <c r="AW90" s="5">
        <v>1</v>
      </c>
      <c r="AX90" s="5">
        <v>2</v>
      </c>
      <c r="AY90" s="5" t="str">
        <f t="shared" si="15"/>
        <v>Number</v>
      </c>
      <c r="AZ90" s="5" t="str">
        <f t="shared" si="16"/>
        <v>Number</v>
      </c>
      <c r="BA90" s="5" t="str">
        <f t="shared" si="17"/>
        <v>Diff</v>
      </c>
      <c r="BB90" s="5">
        <v>1</v>
      </c>
      <c r="BC90" s="5">
        <v>0.7</v>
      </c>
      <c r="BD90" s="5">
        <v>1.5</v>
      </c>
      <c r="BE90" s="5">
        <v>0.85</v>
      </c>
      <c r="BF90" s="5">
        <v>0.625</v>
      </c>
      <c r="BG90" s="5">
        <v>0.3</v>
      </c>
      <c r="BH90" s="5">
        <v>1</v>
      </c>
      <c r="BI90" s="5">
        <v>0.152</v>
      </c>
      <c r="BJ90" s="5">
        <v>0.25</v>
      </c>
      <c r="BK90" s="5" t="str">
        <f t="shared" si="18"/>
        <v>Number</v>
      </c>
      <c r="BL90" s="5" t="str">
        <f t="shared" si="19"/>
        <v>Number</v>
      </c>
      <c r="BM90" s="5" t="str">
        <f t="shared" si="20"/>
        <v>Diff</v>
      </c>
      <c r="BN90" s="5">
        <v>0.22</v>
      </c>
      <c r="BO90" s="5">
        <v>0.44</v>
      </c>
      <c r="BP90" s="5" t="str">
        <f t="shared" si="21"/>
        <v>Number</v>
      </c>
      <c r="BQ90" s="5" t="str">
        <f t="shared" si="22"/>
        <v>Number</v>
      </c>
      <c r="BR90" s="5" t="str">
        <f t="shared" si="23"/>
        <v>Diff</v>
      </c>
      <c r="BS90" s="5">
        <v>0.8</v>
      </c>
      <c r="BT90" s="5">
        <v>0.9</v>
      </c>
      <c r="BU90" s="5">
        <v>0.9</v>
      </c>
      <c r="BX90" s="5">
        <v>0.6</v>
      </c>
      <c r="CA90" t="str">
        <f>IF(OR(AV90="Diff",BA90="Diff",BM90="Diff",BR90="Diff"),"Diff","")</f>
        <v>Diff</v>
      </c>
    </row>
    <row r="91" spans="1:79" x14ac:dyDescent="0.25">
      <c r="A91" t="s">
        <v>356</v>
      </c>
      <c r="B91" t="s">
        <v>167</v>
      </c>
      <c r="C91" t="s">
        <v>387</v>
      </c>
      <c r="D91" t="s">
        <v>388</v>
      </c>
      <c r="E91" s="2">
        <v>48</v>
      </c>
      <c r="F91" s="2">
        <v>52</v>
      </c>
      <c r="G91" t="s">
        <v>390</v>
      </c>
      <c r="H91" t="s">
        <v>384</v>
      </c>
      <c r="I91" t="s">
        <v>414</v>
      </c>
      <c r="J91" t="s">
        <v>392</v>
      </c>
      <c r="K91" s="2">
        <v>3300</v>
      </c>
      <c r="L91" s="2">
        <v>1500</v>
      </c>
      <c r="M91">
        <v>0</v>
      </c>
      <c r="N91">
        <v>0</v>
      </c>
      <c r="O91">
        <v>0</v>
      </c>
      <c r="P91">
        <v>0</v>
      </c>
      <c r="Q91">
        <v>1</v>
      </c>
      <c r="R91">
        <v>1</v>
      </c>
      <c r="S91">
        <v>1</v>
      </c>
      <c r="T91" s="2">
        <v>2</v>
      </c>
      <c r="U91">
        <v>0</v>
      </c>
      <c r="V91">
        <v>0</v>
      </c>
      <c r="W91">
        <v>1</v>
      </c>
      <c r="X91">
        <v>0</v>
      </c>
      <c r="Y91" s="2">
        <v>95</v>
      </c>
      <c r="Z91" s="2">
        <v>95</v>
      </c>
      <c r="AA91">
        <v>0.1</v>
      </c>
      <c r="AB91" t="s">
        <v>374</v>
      </c>
      <c r="AC91">
        <v>1</v>
      </c>
      <c r="AD91">
        <v>0</v>
      </c>
      <c r="AE91">
        <v>0</v>
      </c>
      <c r="AF91">
        <v>0</v>
      </c>
      <c r="AG91">
        <v>-36</v>
      </c>
      <c r="AH91">
        <v>7</v>
      </c>
      <c r="AI91">
        <v>0</v>
      </c>
      <c r="AJ91">
        <v>0</v>
      </c>
      <c r="AO91">
        <v>5</v>
      </c>
      <c r="AQ91">
        <v>1</v>
      </c>
      <c r="AR91" s="5">
        <v>0.4</v>
      </c>
      <c r="AS91" s="5">
        <v>0.8</v>
      </c>
      <c r="AT91" s="5" t="str">
        <f t="shared" si="12"/>
        <v>Number</v>
      </c>
      <c r="AU91" s="5" t="str">
        <f t="shared" si="13"/>
        <v>Number</v>
      </c>
      <c r="AV91" s="5" t="str">
        <f t="shared" si="14"/>
        <v>Diff</v>
      </c>
      <c r="AW91" s="5">
        <v>1</v>
      </c>
      <c r="AX91" s="5">
        <v>2</v>
      </c>
      <c r="AY91" s="5" t="str">
        <f t="shared" si="15"/>
        <v>Number</v>
      </c>
      <c r="AZ91" s="5" t="str">
        <f t="shared" si="16"/>
        <v>Number</v>
      </c>
      <c r="BA91" s="5" t="str">
        <f t="shared" si="17"/>
        <v>Diff</v>
      </c>
      <c r="BB91" s="5">
        <v>1</v>
      </c>
      <c r="BC91" s="5">
        <v>0.7</v>
      </c>
      <c r="BD91" s="5">
        <v>1.5</v>
      </c>
      <c r="BE91" s="5">
        <v>0.85</v>
      </c>
      <c r="BF91" s="5">
        <v>0.625</v>
      </c>
      <c r="BG91" s="5">
        <v>0.3</v>
      </c>
      <c r="BH91" s="5">
        <v>1</v>
      </c>
      <c r="BI91" s="5">
        <v>0.152</v>
      </c>
      <c r="BJ91" s="5">
        <v>0.25</v>
      </c>
      <c r="BK91" s="5" t="str">
        <f t="shared" si="18"/>
        <v>Number</v>
      </c>
      <c r="BL91" s="5" t="str">
        <f t="shared" si="19"/>
        <v>Number</v>
      </c>
      <c r="BM91" s="5" t="str">
        <f t="shared" si="20"/>
        <v>Diff</v>
      </c>
      <c r="BN91" s="5">
        <v>0.22</v>
      </c>
      <c r="BO91" s="5">
        <v>0.44</v>
      </c>
      <c r="BP91" s="5" t="str">
        <f t="shared" si="21"/>
        <v>Number</v>
      </c>
      <c r="BQ91" s="5" t="str">
        <f t="shared" si="22"/>
        <v>Number</v>
      </c>
      <c r="BR91" s="5" t="str">
        <f t="shared" si="23"/>
        <v>Diff</v>
      </c>
      <c r="BS91" s="5">
        <v>0.8</v>
      </c>
      <c r="BT91" s="5">
        <v>0.9</v>
      </c>
      <c r="BU91" s="5">
        <v>0.9</v>
      </c>
      <c r="BX91" s="5">
        <v>0.6</v>
      </c>
      <c r="CA91" t="str">
        <f>IF(OR(AV91="Diff",BA91="Diff",BM91="Diff",BR91="Diff"),"Diff","")</f>
        <v>Diff</v>
      </c>
    </row>
    <row r="92" spans="1:79" hidden="1" x14ac:dyDescent="0.25">
      <c r="A92" t="s">
        <v>360</v>
      </c>
      <c r="B92" t="s">
        <v>167</v>
      </c>
      <c r="C92" t="s">
        <v>387</v>
      </c>
      <c r="D92" t="s">
        <v>388</v>
      </c>
      <c r="E92" s="2">
        <v>2600</v>
      </c>
      <c r="F92" s="2">
        <v>2600</v>
      </c>
      <c r="G92" t="s">
        <v>383</v>
      </c>
      <c r="H92" t="s">
        <v>393</v>
      </c>
      <c r="I92" t="s">
        <v>403</v>
      </c>
      <c r="J92" t="s">
        <v>392</v>
      </c>
      <c r="K92">
        <v>0</v>
      </c>
      <c r="L92" s="2">
        <v>4250</v>
      </c>
      <c r="M92">
        <v>0</v>
      </c>
      <c r="N92">
        <v>4</v>
      </c>
      <c r="O92">
        <v>2</v>
      </c>
      <c r="P92">
        <v>0</v>
      </c>
      <c r="Q92">
        <v>20</v>
      </c>
      <c r="R92">
        <v>0</v>
      </c>
      <c r="S92">
        <v>1</v>
      </c>
      <c r="T92">
        <v>7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0.1</v>
      </c>
      <c r="AB92" t="s">
        <v>374</v>
      </c>
      <c r="AC92">
        <v>0</v>
      </c>
      <c r="AD92">
        <v>0</v>
      </c>
      <c r="AE92">
        <v>1000</v>
      </c>
      <c r="AF92" s="2">
        <v>6</v>
      </c>
      <c r="AG92">
        <v>0</v>
      </c>
      <c r="AH92">
        <v>0</v>
      </c>
      <c r="AI92">
        <v>0</v>
      </c>
      <c r="AJ92">
        <v>0</v>
      </c>
      <c r="AK92" t="s">
        <v>387</v>
      </c>
      <c r="AL92" t="s">
        <v>395</v>
      </c>
      <c r="AM92" s="2">
        <v>-125</v>
      </c>
      <c r="AN92" s="2">
        <v>-125</v>
      </c>
      <c r="AO92" s="2">
        <v>35</v>
      </c>
      <c r="AP92" s="2"/>
      <c r="AQ92">
        <v>1</v>
      </c>
      <c r="AT92" s="5" t="str">
        <f t="shared" si="12"/>
        <v>Blank</v>
      </c>
      <c r="AU92" s="5" t="str">
        <f t="shared" si="13"/>
        <v>Blank</v>
      </c>
      <c r="AV92" s="5" t="str">
        <f t="shared" si="14"/>
        <v/>
      </c>
      <c r="AY92" s="5" t="str">
        <f t="shared" si="15"/>
        <v>Blank</v>
      </c>
      <c r="AZ92" s="5" t="str">
        <f t="shared" si="16"/>
        <v>Blank</v>
      </c>
      <c r="BA92" s="5" t="str">
        <f t="shared" si="17"/>
        <v/>
      </c>
      <c r="BB92" s="5">
        <v>1.1200000000000001</v>
      </c>
      <c r="BC92" s="5">
        <v>1.1200000000000001</v>
      </c>
      <c r="BD92" s="5">
        <v>0.73</v>
      </c>
      <c r="BE92" s="5">
        <v>0.2</v>
      </c>
      <c r="BF92" s="5">
        <v>0.35</v>
      </c>
      <c r="BH92" s="5">
        <v>1</v>
      </c>
      <c r="BI92" s="5">
        <v>0.1</v>
      </c>
      <c r="BJ92" s="5">
        <v>0.1</v>
      </c>
      <c r="BK92" s="5" t="str">
        <f t="shared" si="18"/>
        <v>Number</v>
      </c>
      <c r="BL92" s="5" t="str">
        <f t="shared" si="19"/>
        <v>Number</v>
      </c>
      <c r="BM92" s="5" t="str">
        <f t="shared" si="20"/>
        <v/>
      </c>
      <c r="BN92" s="5" t="s">
        <v>521</v>
      </c>
      <c r="BO92" s="5" t="s">
        <v>521</v>
      </c>
      <c r="BP92" s="5" t="str">
        <f t="shared" si="21"/>
        <v>Number</v>
      </c>
      <c r="BQ92" s="5" t="str">
        <f t="shared" si="22"/>
        <v>Number</v>
      </c>
      <c r="BR92" s="5" t="str">
        <f t="shared" si="23"/>
        <v/>
      </c>
      <c r="BS92" s="5">
        <v>1</v>
      </c>
      <c r="BY92" s="5">
        <v>1</v>
      </c>
      <c r="CA92" t="str">
        <f>IF(OR(AV92="Diff",BA92="Diff",BM92="Diff",BR92="Diff"),"Diff","")</f>
        <v/>
      </c>
    </row>
    <row r="93" spans="1:79" x14ac:dyDescent="0.25">
      <c r="A93" t="s">
        <v>361</v>
      </c>
      <c r="B93" t="s">
        <v>167</v>
      </c>
      <c r="C93" t="s">
        <v>387</v>
      </c>
      <c r="D93" t="s">
        <v>388</v>
      </c>
      <c r="E93" s="2">
        <v>70</v>
      </c>
      <c r="F93" s="2">
        <v>70</v>
      </c>
      <c r="G93" t="s">
        <v>390</v>
      </c>
      <c r="H93" t="s">
        <v>384</v>
      </c>
      <c r="I93" t="s">
        <v>414</v>
      </c>
      <c r="J93" t="s">
        <v>392</v>
      </c>
      <c r="K93" s="2">
        <v>3350</v>
      </c>
      <c r="L93" s="2">
        <v>1750</v>
      </c>
      <c r="M93">
        <v>0</v>
      </c>
      <c r="N93">
        <v>0</v>
      </c>
      <c r="O93">
        <v>0</v>
      </c>
      <c r="P93">
        <v>0</v>
      </c>
      <c r="Q93">
        <v>1</v>
      </c>
      <c r="R93">
        <v>1</v>
      </c>
      <c r="S93">
        <v>1</v>
      </c>
      <c r="T93" s="2">
        <v>3</v>
      </c>
      <c r="U93">
        <v>0</v>
      </c>
      <c r="V93">
        <v>0</v>
      </c>
      <c r="W93">
        <v>1</v>
      </c>
      <c r="X93">
        <v>0</v>
      </c>
      <c r="Y93" s="2">
        <v>65</v>
      </c>
      <c r="Z93" s="2">
        <v>65</v>
      </c>
      <c r="AA93">
        <v>0.1</v>
      </c>
      <c r="AB93" t="s">
        <v>374</v>
      </c>
      <c r="AC93">
        <v>1</v>
      </c>
      <c r="AD93">
        <v>0</v>
      </c>
      <c r="AE93">
        <v>0</v>
      </c>
      <c r="AF93">
        <v>0</v>
      </c>
      <c r="AG93">
        <v>-34</v>
      </c>
      <c r="AH93">
        <v>34</v>
      </c>
      <c r="AI93">
        <v>-34</v>
      </c>
      <c r="AJ93">
        <v>34</v>
      </c>
      <c r="AO93">
        <v>5</v>
      </c>
      <c r="AQ93">
        <v>1</v>
      </c>
      <c r="AR93" s="5">
        <v>1</v>
      </c>
      <c r="AS93" s="5">
        <v>2</v>
      </c>
      <c r="AT93" s="5" t="str">
        <f t="shared" si="12"/>
        <v>Number</v>
      </c>
      <c r="AU93" s="5" t="str">
        <f t="shared" si="13"/>
        <v>Number</v>
      </c>
      <c r="AV93" s="5" t="str">
        <f t="shared" si="14"/>
        <v>Diff</v>
      </c>
      <c r="AW93" s="5">
        <v>0.5</v>
      </c>
      <c r="AX93" s="5">
        <v>1.4</v>
      </c>
      <c r="AY93" s="5" t="str">
        <f t="shared" si="15"/>
        <v>Number</v>
      </c>
      <c r="AZ93" s="5" t="str">
        <f t="shared" si="16"/>
        <v>Number</v>
      </c>
      <c r="BA93" s="5" t="str">
        <f t="shared" si="17"/>
        <v>Diff</v>
      </c>
      <c r="BB93" s="5">
        <v>0.8</v>
      </c>
      <c r="BC93" s="5">
        <v>1</v>
      </c>
      <c r="BD93" s="5">
        <v>1</v>
      </c>
      <c r="BE93" s="5">
        <v>0.7</v>
      </c>
      <c r="BG93" s="5">
        <v>0.43</v>
      </c>
      <c r="BH93" s="5">
        <v>1</v>
      </c>
      <c r="BI93" s="5">
        <v>0.3</v>
      </c>
      <c r="BJ93" s="5">
        <v>0.3</v>
      </c>
      <c r="BK93" s="5" t="str">
        <f t="shared" si="18"/>
        <v>Number</v>
      </c>
      <c r="BL93" s="5" t="str">
        <f t="shared" si="19"/>
        <v>Number</v>
      </c>
      <c r="BM93" s="5" t="str">
        <f t="shared" si="20"/>
        <v/>
      </c>
      <c r="BN93" s="5">
        <v>0.7</v>
      </c>
      <c r="BO93" s="5">
        <v>0.7</v>
      </c>
      <c r="BP93" s="5" t="str">
        <f t="shared" si="21"/>
        <v>Number</v>
      </c>
      <c r="BQ93" s="5" t="str">
        <f t="shared" si="22"/>
        <v>Number</v>
      </c>
      <c r="BR93" s="5" t="str">
        <f t="shared" si="23"/>
        <v/>
      </c>
      <c r="BS93" s="5">
        <v>0.8</v>
      </c>
      <c r="BT93" s="5">
        <v>0.6</v>
      </c>
      <c r="BU93" s="5">
        <v>0.6</v>
      </c>
      <c r="BX93" s="5">
        <v>0.9</v>
      </c>
      <c r="CA93" t="str">
        <f>IF(OR(AV93="Diff",BA93="Diff",BM93="Diff",BR93="Diff"),"Diff","")</f>
        <v>Diff</v>
      </c>
    </row>
    <row r="94" spans="1:79" x14ac:dyDescent="0.25">
      <c r="A94" t="s">
        <v>362</v>
      </c>
      <c r="B94" t="s">
        <v>167</v>
      </c>
      <c r="C94" t="s">
        <v>387</v>
      </c>
      <c r="D94" t="s">
        <v>388</v>
      </c>
      <c r="E94">
        <v>5500</v>
      </c>
      <c r="F94">
        <v>5500</v>
      </c>
      <c r="G94" t="s">
        <v>383</v>
      </c>
      <c r="H94" t="s">
        <v>411</v>
      </c>
      <c r="I94" t="s">
        <v>438</v>
      </c>
      <c r="J94" t="s">
        <v>413</v>
      </c>
      <c r="K94">
        <v>300</v>
      </c>
      <c r="L94">
        <v>1000</v>
      </c>
      <c r="M94">
        <v>0</v>
      </c>
      <c r="N94">
        <v>0</v>
      </c>
      <c r="O94">
        <v>0</v>
      </c>
      <c r="P94">
        <v>0</v>
      </c>
      <c r="Q94">
        <v>1</v>
      </c>
      <c r="R94">
        <v>0</v>
      </c>
      <c r="S94">
        <v>0</v>
      </c>
      <c r="T94">
        <v>0.5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0.1</v>
      </c>
      <c r="AB94" t="s">
        <v>374</v>
      </c>
      <c r="AC94">
        <v>0</v>
      </c>
      <c r="AD94">
        <v>0</v>
      </c>
      <c r="AE94">
        <v>0</v>
      </c>
      <c r="AF94">
        <v>179</v>
      </c>
      <c r="AG94">
        <v>0</v>
      </c>
      <c r="AH94">
        <v>0</v>
      </c>
      <c r="AI94">
        <v>0</v>
      </c>
      <c r="AJ94">
        <v>0</v>
      </c>
      <c r="AO94">
        <v>5</v>
      </c>
      <c r="AQ94">
        <v>1</v>
      </c>
      <c r="AT94" s="5" t="str">
        <f t="shared" si="12"/>
        <v>Blank</v>
      </c>
      <c r="AU94" s="5" t="str">
        <f t="shared" si="13"/>
        <v>Blank</v>
      </c>
      <c r="AV94" s="5" t="str">
        <f t="shared" si="14"/>
        <v/>
      </c>
      <c r="AY94" s="5" t="str">
        <f t="shared" si="15"/>
        <v>Blank</v>
      </c>
      <c r="AZ94" s="5" t="str">
        <f t="shared" si="16"/>
        <v>Blank</v>
      </c>
      <c r="BA94" s="5" t="str">
        <f t="shared" si="17"/>
        <v/>
      </c>
      <c r="BG94" s="5">
        <v>0</v>
      </c>
      <c r="BH94" s="5">
        <v>1</v>
      </c>
      <c r="BI94" s="5">
        <v>0</v>
      </c>
      <c r="BK94" s="5" t="str">
        <f t="shared" si="18"/>
        <v>Zero</v>
      </c>
      <c r="BL94" s="5" t="str">
        <f t="shared" si="19"/>
        <v>Blank</v>
      </c>
      <c r="BM94" s="5" t="str">
        <f t="shared" si="20"/>
        <v>Diff</v>
      </c>
      <c r="BN94" s="5">
        <v>0</v>
      </c>
      <c r="BP94" s="5" t="str">
        <f t="shared" si="21"/>
        <v>Zero</v>
      </c>
      <c r="BQ94" s="5" t="str">
        <f t="shared" si="22"/>
        <v>Blank</v>
      </c>
      <c r="BR94" s="5" t="str">
        <f t="shared" si="23"/>
        <v>Diff</v>
      </c>
      <c r="CA94" t="str">
        <f>IF(OR(AV94="Diff",BA94="Diff",BM94="Diff",BR94="Diff"),"Diff","")</f>
        <v>Diff</v>
      </c>
    </row>
    <row r="95" spans="1:79" x14ac:dyDescent="0.25">
      <c r="A95" t="s">
        <v>363</v>
      </c>
      <c r="B95" t="s">
        <v>167</v>
      </c>
      <c r="C95" t="s">
        <v>387</v>
      </c>
      <c r="D95" t="s">
        <v>388</v>
      </c>
      <c r="E95" s="2">
        <v>27</v>
      </c>
      <c r="F95" s="2">
        <v>27</v>
      </c>
      <c r="G95" t="s">
        <v>390</v>
      </c>
      <c r="H95" t="s">
        <v>384</v>
      </c>
      <c r="I95" s="2" t="s">
        <v>429</v>
      </c>
      <c r="J95" t="s">
        <v>392</v>
      </c>
      <c r="K95">
        <v>3500</v>
      </c>
      <c r="L95" s="2">
        <v>1750</v>
      </c>
      <c r="M95">
        <v>0</v>
      </c>
      <c r="N95">
        <v>0</v>
      </c>
      <c r="O95">
        <v>0</v>
      </c>
      <c r="P95">
        <v>0</v>
      </c>
      <c r="Q95">
        <v>1</v>
      </c>
      <c r="R95">
        <v>1</v>
      </c>
      <c r="S95">
        <v>1</v>
      </c>
      <c r="T95" s="2">
        <v>1.7</v>
      </c>
      <c r="U95" s="2">
        <v>2</v>
      </c>
      <c r="V95" s="2">
        <v>1</v>
      </c>
      <c r="W95">
        <v>1</v>
      </c>
      <c r="X95">
        <v>0</v>
      </c>
      <c r="Y95" s="2">
        <v>109</v>
      </c>
      <c r="Z95" s="2">
        <v>109</v>
      </c>
      <c r="AA95">
        <v>0.1</v>
      </c>
      <c r="AB95" t="s">
        <v>374</v>
      </c>
      <c r="AC95">
        <v>1</v>
      </c>
      <c r="AD95">
        <v>0</v>
      </c>
      <c r="AE95">
        <v>0</v>
      </c>
      <c r="AF95" s="2">
        <v>10</v>
      </c>
      <c r="AG95">
        <v>-34</v>
      </c>
      <c r="AH95">
        <v>34</v>
      </c>
      <c r="AI95">
        <v>-18</v>
      </c>
      <c r="AJ95">
        <v>18</v>
      </c>
      <c r="AO95">
        <v>5</v>
      </c>
      <c r="AQ95">
        <v>1</v>
      </c>
      <c r="AR95" s="5">
        <v>1</v>
      </c>
      <c r="AS95" s="5">
        <v>2</v>
      </c>
      <c r="AT95" s="5" t="str">
        <f t="shared" si="12"/>
        <v>Number</v>
      </c>
      <c r="AU95" s="5" t="str">
        <f t="shared" si="13"/>
        <v>Number</v>
      </c>
      <c r="AV95" s="5" t="str">
        <f t="shared" si="14"/>
        <v>Diff</v>
      </c>
      <c r="AW95" s="5">
        <v>1</v>
      </c>
      <c r="AX95" s="5">
        <v>2</v>
      </c>
      <c r="AY95" s="5" t="str">
        <f t="shared" si="15"/>
        <v>Number</v>
      </c>
      <c r="AZ95" s="5" t="str">
        <f t="shared" si="16"/>
        <v>Number</v>
      </c>
      <c r="BA95" s="5" t="str">
        <f t="shared" si="17"/>
        <v>Diff</v>
      </c>
      <c r="BB95" s="5">
        <v>0.9</v>
      </c>
      <c r="BC95" s="5">
        <v>0.8</v>
      </c>
      <c r="BE95" s="5">
        <v>0.8</v>
      </c>
      <c r="BG95" s="5">
        <v>0.78400000000000003</v>
      </c>
      <c r="BH95" s="5">
        <v>1</v>
      </c>
      <c r="BI95" s="5">
        <v>0.3</v>
      </c>
      <c r="BJ95" s="5">
        <v>0.6</v>
      </c>
      <c r="BK95" s="5" t="str">
        <f t="shared" si="18"/>
        <v>Number</v>
      </c>
      <c r="BL95" s="5" t="str">
        <f t="shared" si="19"/>
        <v>Number</v>
      </c>
      <c r="BM95" s="5" t="str">
        <f t="shared" si="20"/>
        <v>Diff</v>
      </c>
      <c r="BN95" s="5">
        <v>0.62</v>
      </c>
      <c r="BO95" s="5">
        <v>0.69</v>
      </c>
      <c r="BP95" s="5" t="str">
        <f t="shared" si="21"/>
        <v>Number</v>
      </c>
      <c r="BQ95" s="5" t="str">
        <f t="shared" si="22"/>
        <v>Number</v>
      </c>
      <c r="BR95" s="5" t="str">
        <f t="shared" si="23"/>
        <v>Diff</v>
      </c>
      <c r="BS95" s="5">
        <v>0.6</v>
      </c>
      <c r="BT95" s="5">
        <v>0.6</v>
      </c>
      <c r="BU95" s="5">
        <v>0.6</v>
      </c>
      <c r="BX95" s="5">
        <v>0.6</v>
      </c>
      <c r="CA95" t="str">
        <f>IF(OR(AV95="Diff",BA95="Diff",BM95="Diff",BR95="Diff"),"Diff","")</f>
        <v>Diff</v>
      </c>
    </row>
    <row r="96" spans="1:79" x14ac:dyDescent="0.25">
      <c r="A96" t="s">
        <v>364</v>
      </c>
      <c r="B96" t="s">
        <v>167</v>
      </c>
      <c r="C96" t="s">
        <v>387</v>
      </c>
      <c r="D96" t="s">
        <v>388</v>
      </c>
      <c r="E96" s="2">
        <v>27</v>
      </c>
      <c r="F96" s="2">
        <v>27</v>
      </c>
      <c r="G96" t="s">
        <v>390</v>
      </c>
      <c r="H96" t="s">
        <v>384</v>
      </c>
      <c r="I96" s="2" t="s">
        <v>429</v>
      </c>
      <c r="J96" t="s">
        <v>392</v>
      </c>
      <c r="K96">
        <v>3500</v>
      </c>
      <c r="L96" s="2">
        <v>1750</v>
      </c>
      <c r="M96">
        <v>0</v>
      </c>
      <c r="N96">
        <v>0</v>
      </c>
      <c r="O96">
        <v>0</v>
      </c>
      <c r="P96">
        <v>0</v>
      </c>
      <c r="Q96">
        <v>1</v>
      </c>
      <c r="R96">
        <v>1</v>
      </c>
      <c r="S96">
        <v>1</v>
      </c>
      <c r="T96" s="2">
        <v>1.7</v>
      </c>
      <c r="U96" s="2">
        <v>2</v>
      </c>
      <c r="V96" s="2">
        <v>1</v>
      </c>
      <c r="W96">
        <v>1</v>
      </c>
      <c r="X96">
        <v>0</v>
      </c>
      <c r="Y96" s="2">
        <v>109</v>
      </c>
      <c r="Z96" s="2">
        <v>109</v>
      </c>
      <c r="AA96">
        <v>0.1</v>
      </c>
      <c r="AB96" t="s">
        <v>374</v>
      </c>
      <c r="AC96">
        <v>1</v>
      </c>
      <c r="AD96">
        <v>0</v>
      </c>
      <c r="AE96">
        <v>0</v>
      </c>
      <c r="AF96" s="2">
        <v>10</v>
      </c>
      <c r="AG96">
        <v>-22</v>
      </c>
      <c r="AH96">
        <v>22</v>
      </c>
      <c r="AI96">
        <v>-22</v>
      </c>
      <c r="AJ96">
        <v>22</v>
      </c>
      <c r="AO96">
        <v>5</v>
      </c>
      <c r="AQ96">
        <v>1</v>
      </c>
      <c r="AR96" s="5">
        <v>1</v>
      </c>
      <c r="AS96" s="5">
        <v>2</v>
      </c>
      <c r="AT96" s="5" t="str">
        <f t="shared" si="12"/>
        <v>Number</v>
      </c>
      <c r="AU96" s="5" t="str">
        <f t="shared" si="13"/>
        <v>Number</v>
      </c>
      <c r="AV96" s="5" t="str">
        <f t="shared" si="14"/>
        <v>Diff</v>
      </c>
      <c r="AW96" s="5">
        <v>1</v>
      </c>
      <c r="AX96" s="5">
        <v>2</v>
      </c>
      <c r="AY96" s="5" t="str">
        <f t="shared" si="15"/>
        <v>Number</v>
      </c>
      <c r="AZ96" s="5" t="str">
        <f t="shared" si="16"/>
        <v>Number</v>
      </c>
      <c r="BA96" s="5" t="str">
        <f t="shared" si="17"/>
        <v>Diff</v>
      </c>
      <c r="BB96" s="5">
        <v>0.9</v>
      </c>
      <c r="BC96" s="5">
        <v>0.8</v>
      </c>
      <c r="BE96" s="5">
        <v>0.8</v>
      </c>
      <c r="BG96" s="5">
        <v>0.78400000000000003</v>
      </c>
      <c r="BH96" s="5">
        <v>1</v>
      </c>
      <c r="BI96" s="5">
        <v>0.3</v>
      </c>
      <c r="BJ96" s="5">
        <v>0.6</v>
      </c>
      <c r="BK96" s="5" t="str">
        <f t="shared" si="18"/>
        <v>Number</v>
      </c>
      <c r="BL96" s="5" t="str">
        <f t="shared" si="19"/>
        <v>Number</v>
      </c>
      <c r="BM96" s="5" t="str">
        <f t="shared" si="20"/>
        <v>Diff</v>
      </c>
      <c r="BN96" s="5">
        <v>0.62</v>
      </c>
      <c r="BO96" s="5">
        <v>0.69</v>
      </c>
      <c r="BP96" s="5" t="str">
        <f t="shared" si="21"/>
        <v>Number</v>
      </c>
      <c r="BQ96" s="5" t="str">
        <f t="shared" si="22"/>
        <v>Number</v>
      </c>
      <c r="BR96" s="5" t="str">
        <f t="shared" si="23"/>
        <v>Diff</v>
      </c>
      <c r="BS96" s="5">
        <v>0.6</v>
      </c>
      <c r="BT96" s="5">
        <v>0.6</v>
      </c>
      <c r="BU96" s="5">
        <v>0.6</v>
      </c>
      <c r="BX96" s="5">
        <v>0.6</v>
      </c>
      <c r="CA96" t="str">
        <f>IF(OR(AV96="Diff",BA96="Diff",BM96="Diff",BR96="Diff"),"Diff","")</f>
        <v>Diff</v>
      </c>
    </row>
    <row r="97" spans="1:79" x14ac:dyDescent="0.25">
      <c r="A97" t="s">
        <v>365</v>
      </c>
      <c r="B97" t="s">
        <v>167</v>
      </c>
      <c r="C97" t="s">
        <v>387</v>
      </c>
      <c r="D97" t="s">
        <v>388</v>
      </c>
      <c r="E97">
        <v>20</v>
      </c>
      <c r="F97">
        <v>20</v>
      </c>
      <c r="G97" s="2" t="s">
        <v>390</v>
      </c>
      <c r="H97" t="s">
        <v>384</v>
      </c>
      <c r="I97" s="2" t="s">
        <v>414</v>
      </c>
      <c r="J97" t="s">
        <v>392</v>
      </c>
      <c r="K97" s="2">
        <v>3350</v>
      </c>
      <c r="L97" s="2" t="s">
        <v>380</v>
      </c>
      <c r="M97">
        <v>0</v>
      </c>
      <c r="N97">
        <v>0</v>
      </c>
      <c r="O97">
        <v>0</v>
      </c>
      <c r="P97">
        <v>0</v>
      </c>
      <c r="Q97">
        <v>1</v>
      </c>
      <c r="R97">
        <v>1</v>
      </c>
      <c r="S97" s="2">
        <v>1</v>
      </c>
      <c r="T97" s="2">
        <v>0.8</v>
      </c>
      <c r="U97">
        <v>0</v>
      </c>
      <c r="V97">
        <v>0</v>
      </c>
      <c r="W97">
        <v>1</v>
      </c>
      <c r="X97">
        <v>0</v>
      </c>
      <c r="Y97" s="2">
        <v>65</v>
      </c>
      <c r="Z97" s="2">
        <v>65</v>
      </c>
      <c r="AA97">
        <v>0.1</v>
      </c>
      <c r="AB97" t="s">
        <v>374</v>
      </c>
      <c r="AC97" s="2">
        <v>1</v>
      </c>
      <c r="AD97">
        <v>0</v>
      </c>
      <c r="AE97">
        <v>0</v>
      </c>
      <c r="AF97">
        <v>60</v>
      </c>
      <c r="AG97">
        <v>0</v>
      </c>
      <c r="AH97">
        <v>0</v>
      </c>
      <c r="AI97">
        <v>0</v>
      </c>
      <c r="AJ97">
        <v>0</v>
      </c>
      <c r="AO97">
        <v>5</v>
      </c>
      <c r="AQ97">
        <v>1</v>
      </c>
      <c r="AT97" s="5" t="str">
        <f t="shared" si="12"/>
        <v>Blank</v>
      </c>
      <c r="AU97" s="5" t="str">
        <f t="shared" si="13"/>
        <v>Blank</v>
      </c>
      <c r="AV97" s="5" t="str">
        <f t="shared" si="14"/>
        <v/>
      </c>
      <c r="AY97" s="5" t="str">
        <f t="shared" si="15"/>
        <v>Blank</v>
      </c>
      <c r="AZ97" s="5" t="str">
        <f t="shared" si="16"/>
        <v>Blank</v>
      </c>
      <c r="BA97" s="5" t="str">
        <f t="shared" si="17"/>
        <v/>
      </c>
      <c r="BE97" s="5">
        <v>0.8</v>
      </c>
      <c r="BH97" s="5">
        <v>1</v>
      </c>
      <c r="BI97" s="5">
        <v>0.12</v>
      </c>
      <c r="BJ97" s="5">
        <v>0.24</v>
      </c>
      <c r="BK97" s="5" t="str">
        <f t="shared" si="18"/>
        <v>Number</v>
      </c>
      <c r="BL97" s="5" t="str">
        <f t="shared" si="19"/>
        <v>Number</v>
      </c>
      <c r="BM97" s="5" t="str">
        <f t="shared" si="20"/>
        <v>Diff</v>
      </c>
      <c r="BN97" s="5">
        <v>0.13</v>
      </c>
      <c r="BO97" s="5">
        <v>0.26</v>
      </c>
      <c r="BP97" s="5" t="str">
        <f t="shared" si="21"/>
        <v>Number</v>
      </c>
      <c r="BQ97" s="5" t="str">
        <f t="shared" si="22"/>
        <v>Number</v>
      </c>
      <c r="BR97" s="5" t="str">
        <f t="shared" si="23"/>
        <v>Diff</v>
      </c>
      <c r="BS97" s="5">
        <v>0.8</v>
      </c>
      <c r="BT97" s="5">
        <v>0.6</v>
      </c>
      <c r="BU97" s="5">
        <v>0.6</v>
      </c>
      <c r="BX97" s="5">
        <v>0.6</v>
      </c>
      <c r="CA97" t="str">
        <f>IF(OR(AV97="Diff",BA97="Diff",BM97="Diff",BR97="Diff"),"Diff","")</f>
        <v>Diff</v>
      </c>
    </row>
    <row r="98" spans="1:79" hidden="1" x14ac:dyDescent="0.25">
      <c r="A98" t="s">
        <v>366</v>
      </c>
      <c r="B98" t="s">
        <v>167</v>
      </c>
      <c r="C98" t="s">
        <v>387</v>
      </c>
      <c r="D98" t="s">
        <v>388</v>
      </c>
      <c r="E98" s="2" t="s">
        <v>476</v>
      </c>
      <c r="F98" s="2" t="s">
        <v>476</v>
      </c>
      <c r="G98" s="2" t="s">
        <v>390</v>
      </c>
      <c r="H98" t="s">
        <v>393</v>
      </c>
      <c r="I98" t="s">
        <v>435</v>
      </c>
      <c r="J98" t="s">
        <v>392</v>
      </c>
      <c r="K98">
        <v>0</v>
      </c>
      <c r="L98" s="2">
        <v>890</v>
      </c>
      <c r="M98">
        <v>0</v>
      </c>
      <c r="N98">
        <v>5</v>
      </c>
      <c r="O98">
        <v>0</v>
      </c>
      <c r="P98">
        <v>0</v>
      </c>
      <c r="Q98">
        <v>1</v>
      </c>
      <c r="R98">
        <v>1</v>
      </c>
      <c r="S98" s="2">
        <v>1</v>
      </c>
      <c r="T98">
        <v>5</v>
      </c>
      <c r="U98">
        <v>5</v>
      </c>
      <c r="V98">
        <v>1</v>
      </c>
      <c r="W98">
        <v>1</v>
      </c>
      <c r="X98">
        <v>0</v>
      </c>
      <c r="Y98" s="2">
        <v>45</v>
      </c>
      <c r="Z98" s="2">
        <v>45</v>
      </c>
      <c r="AA98">
        <v>0.1</v>
      </c>
      <c r="AB98" t="s">
        <v>374</v>
      </c>
      <c r="AC98" s="2">
        <v>1</v>
      </c>
      <c r="AD98">
        <v>0</v>
      </c>
      <c r="AE98">
        <v>0</v>
      </c>
      <c r="AF98" s="2">
        <v>80</v>
      </c>
      <c r="AG98">
        <v>0</v>
      </c>
      <c r="AH98">
        <v>0</v>
      </c>
      <c r="AI98">
        <v>0</v>
      </c>
      <c r="AJ98">
        <v>0</v>
      </c>
      <c r="AO98">
        <v>5</v>
      </c>
      <c r="AP98"/>
      <c r="AQ98">
        <v>1</v>
      </c>
      <c r="AT98" s="5" t="str">
        <f t="shared" si="12"/>
        <v>Blank</v>
      </c>
      <c r="AU98" s="5" t="str">
        <f t="shared" si="13"/>
        <v>Blank</v>
      </c>
      <c r="AV98" s="5" t="str">
        <f t="shared" si="14"/>
        <v/>
      </c>
      <c r="AY98" s="5" t="str">
        <f t="shared" si="15"/>
        <v>Blank</v>
      </c>
      <c r="AZ98" s="5" t="str">
        <f t="shared" si="16"/>
        <v>Blank</v>
      </c>
      <c r="BA98" s="5" t="str">
        <f t="shared" si="17"/>
        <v/>
      </c>
      <c r="BE98" s="5">
        <v>0.8</v>
      </c>
      <c r="BH98" s="5">
        <v>1</v>
      </c>
      <c r="BK98" s="5" t="str">
        <f t="shared" si="18"/>
        <v>Blank</v>
      </c>
      <c r="BL98" s="5" t="str">
        <f t="shared" si="19"/>
        <v>Blank</v>
      </c>
      <c r="BM98" s="5" t="str">
        <f t="shared" si="20"/>
        <v/>
      </c>
      <c r="BP98" s="5" t="str">
        <f t="shared" si="21"/>
        <v>Blank</v>
      </c>
      <c r="BQ98" s="5" t="str">
        <f t="shared" si="22"/>
        <v>Blank</v>
      </c>
      <c r="BR98" s="5" t="str">
        <f t="shared" si="23"/>
        <v/>
      </c>
      <c r="CA98" t="str">
        <f>IF(OR(AV98="Diff",BA98="Diff",BM98="Diff",BR98="Diff"),"Diff","")</f>
        <v/>
      </c>
    </row>
    <row r="99" spans="1:79" x14ac:dyDescent="0.25">
      <c r="A99" t="s">
        <v>367</v>
      </c>
      <c r="B99" t="s">
        <v>167</v>
      </c>
      <c r="C99" t="s">
        <v>387</v>
      </c>
      <c r="D99" t="s">
        <v>388</v>
      </c>
      <c r="E99" s="2">
        <v>70</v>
      </c>
      <c r="F99" s="2">
        <v>75</v>
      </c>
      <c r="G99" t="s">
        <v>390</v>
      </c>
      <c r="H99" t="s">
        <v>384</v>
      </c>
      <c r="I99" t="s">
        <v>414</v>
      </c>
      <c r="J99" t="s">
        <v>392</v>
      </c>
      <c r="K99" s="2">
        <v>2500</v>
      </c>
      <c r="L99">
        <v>3450</v>
      </c>
      <c r="M99">
        <v>0</v>
      </c>
      <c r="N99">
        <v>0</v>
      </c>
      <c r="O99">
        <v>0</v>
      </c>
      <c r="P99">
        <v>0</v>
      </c>
      <c r="Q99">
        <v>1</v>
      </c>
      <c r="R99">
        <v>1</v>
      </c>
      <c r="S99">
        <v>1</v>
      </c>
      <c r="T99" s="2">
        <v>2.4</v>
      </c>
      <c r="U99">
        <v>0</v>
      </c>
      <c r="V99">
        <v>0</v>
      </c>
      <c r="W99">
        <v>1</v>
      </c>
      <c r="X99">
        <v>0</v>
      </c>
      <c r="Y99" s="2">
        <v>120</v>
      </c>
      <c r="Z99" s="2">
        <v>120</v>
      </c>
      <c r="AA99">
        <v>0.1</v>
      </c>
      <c r="AB99" t="s">
        <v>374</v>
      </c>
      <c r="AC99">
        <v>1</v>
      </c>
      <c r="AD99">
        <v>0</v>
      </c>
      <c r="AE99">
        <v>0</v>
      </c>
      <c r="AF99">
        <v>0</v>
      </c>
      <c r="AG99">
        <v>-15</v>
      </c>
      <c r="AH99">
        <v>150</v>
      </c>
      <c r="AI99">
        <v>-10</v>
      </c>
      <c r="AJ99">
        <v>30</v>
      </c>
      <c r="AO99">
        <v>5</v>
      </c>
      <c r="AQ99">
        <v>1</v>
      </c>
      <c r="AT99" s="5" t="str">
        <f t="shared" si="12"/>
        <v>Blank</v>
      </c>
      <c r="AU99" s="5" t="str">
        <f t="shared" si="13"/>
        <v>Blank</v>
      </c>
      <c r="AV99" s="5" t="str">
        <f t="shared" si="14"/>
        <v/>
      </c>
      <c r="AY99" s="5" t="str">
        <f t="shared" si="15"/>
        <v>Blank</v>
      </c>
      <c r="AZ99" s="5" t="str">
        <f t="shared" si="16"/>
        <v>Blank</v>
      </c>
      <c r="BA99" s="5" t="str">
        <f t="shared" si="17"/>
        <v/>
      </c>
      <c r="BH99" s="5">
        <v>1</v>
      </c>
      <c r="BI99" s="5">
        <v>0.25</v>
      </c>
      <c r="BJ99" s="5">
        <v>0.5</v>
      </c>
      <c r="BK99" s="5" t="str">
        <f t="shared" si="18"/>
        <v>Number</v>
      </c>
      <c r="BL99" s="5" t="str">
        <f t="shared" si="19"/>
        <v>Number</v>
      </c>
      <c r="BM99" s="5" t="str">
        <f t="shared" si="20"/>
        <v>Diff</v>
      </c>
      <c r="BN99" s="5">
        <v>0.18</v>
      </c>
      <c r="BO99" s="5">
        <v>0.36</v>
      </c>
      <c r="BP99" s="5" t="str">
        <f t="shared" si="21"/>
        <v>Number</v>
      </c>
      <c r="BQ99" s="5" t="str">
        <f t="shared" si="22"/>
        <v>Number</v>
      </c>
      <c r="BR99" s="5" t="str">
        <f t="shared" si="23"/>
        <v>Diff</v>
      </c>
      <c r="BS99" s="5">
        <v>0.8</v>
      </c>
      <c r="BT99" s="5">
        <v>0.6</v>
      </c>
      <c r="BU99" s="5">
        <v>0.6</v>
      </c>
      <c r="BX99" s="5">
        <v>0.6</v>
      </c>
      <c r="CA99" t="str">
        <f>IF(OR(AV99="Diff",BA99="Diff",BM99="Diff",BR99="Diff"),"Diff","")</f>
        <v>Diff</v>
      </c>
    </row>
    <row r="100" spans="1:79" hidden="1" x14ac:dyDescent="0.25">
      <c r="A100" t="s">
        <v>368</v>
      </c>
      <c r="B100" t="s">
        <v>167</v>
      </c>
      <c r="C100" t="s">
        <v>387</v>
      </c>
      <c r="D100" t="s">
        <v>388</v>
      </c>
      <c r="E100" s="2" t="s">
        <v>477</v>
      </c>
      <c r="F100" s="2" t="s">
        <v>477</v>
      </c>
      <c r="G100" t="s">
        <v>390</v>
      </c>
      <c r="H100" t="s">
        <v>393</v>
      </c>
      <c r="I100" t="s">
        <v>435</v>
      </c>
      <c r="J100" t="s">
        <v>392</v>
      </c>
      <c r="K100">
        <v>0</v>
      </c>
      <c r="L100" s="2">
        <v>850</v>
      </c>
      <c r="M100">
        <v>0</v>
      </c>
      <c r="N100">
        <v>5</v>
      </c>
      <c r="O100">
        <v>0</v>
      </c>
      <c r="P100">
        <v>0</v>
      </c>
      <c r="Q100">
        <v>1</v>
      </c>
      <c r="R100">
        <v>1</v>
      </c>
      <c r="S100">
        <v>1</v>
      </c>
      <c r="T100">
        <v>5</v>
      </c>
      <c r="U100">
        <v>5</v>
      </c>
      <c r="V100">
        <v>1</v>
      </c>
      <c r="W100">
        <v>1</v>
      </c>
      <c r="X100">
        <v>0</v>
      </c>
      <c r="Y100">
        <v>45</v>
      </c>
      <c r="Z100">
        <v>45</v>
      </c>
      <c r="AA100">
        <v>0.1</v>
      </c>
      <c r="AB100" t="s">
        <v>374</v>
      </c>
      <c r="AC100">
        <v>1</v>
      </c>
      <c r="AD100">
        <v>0</v>
      </c>
      <c r="AE100">
        <v>0</v>
      </c>
      <c r="AF100">
        <v>0</v>
      </c>
      <c r="AG100">
        <v>-15</v>
      </c>
      <c r="AH100">
        <v>150</v>
      </c>
      <c r="AI100">
        <v>-10</v>
      </c>
      <c r="AJ100">
        <v>15</v>
      </c>
      <c r="AO100">
        <v>5</v>
      </c>
      <c r="AP100"/>
      <c r="AQ100">
        <v>1</v>
      </c>
      <c r="AT100" s="5" t="str">
        <f t="shared" si="12"/>
        <v>Blank</v>
      </c>
      <c r="AU100" s="5" t="str">
        <f t="shared" si="13"/>
        <v>Blank</v>
      </c>
      <c r="AV100" s="5" t="str">
        <f t="shared" si="14"/>
        <v/>
      </c>
      <c r="AY100" s="5" t="str">
        <f t="shared" si="15"/>
        <v>Blank</v>
      </c>
      <c r="AZ100" s="5" t="str">
        <f t="shared" si="16"/>
        <v>Blank</v>
      </c>
      <c r="BA100" s="5" t="str">
        <f t="shared" si="17"/>
        <v/>
      </c>
      <c r="BH100" s="5">
        <v>1</v>
      </c>
      <c r="BK100" s="5" t="str">
        <f t="shared" si="18"/>
        <v>Blank</v>
      </c>
      <c r="BL100" s="5" t="str">
        <f t="shared" si="19"/>
        <v>Blank</v>
      </c>
      <c r="BM100" s="5" t="str">
        <f t="shared" si="20"/>
        <v/>
      </c>
      <c r="BP100" s="5" t="str">
        <f t="shared" si="21"/>
        <v>Blank</v>
      </c>
      <c r="BQ100" s="5" t="str">
        <f t="shared" si="22"/>
        <v>Blank</v>
      </c>
      <c r="BR100" s="5" t="str">
        <f t="shared" si="23"/>
        <v/>
      </c>
      <c r="CA100" t="str">
        <f>IF(OR(AV100="Diff",BA100="Diff",BM100="Diff",BR100="Diff"),"Diff","")</f>
        <v/>
      </c>
    </row>
    <row r="101" spans="1:79" x14ac:dyDescent="0.25">
      <c r="A101" t="s">
        <v>369</v>
      </c>
      <c r="B101" t="s">
        <v>167</v>
      </c>
      <c r="C101" t="s">
        <v>387</v>
      </c>
      <c r="D101" t="s">
        <v>388</v>
      </c>
      <c r="E101" s="2">
        <v>70</v>
      </c>
      <c r="F101" s="2">
        <v>75</v>
      </c>
      <c r="G101" t="s">
        <v>390</v>
      </c>
      <c r="H101" t="s">
        <v>384</v>
      </c>
      <c r="I101" t="s">
        <v>414</v>
      </c>
      <c r="J101" t="s">
        <v>392</v>
      </c>
      <c r="K101" s="2">
        <v>2500</v>
      </c>
      <c r="L101">
        <v>3450</v>
      </c>
      <c r="M101">
        <v>0</v>
      </c>
      <c r="N101">
        <v>0</v>
      </c>
      <c r="O101">
        <v>0</v>
      </c>
      <c r="P101">
        <v>0</v>
      </c>
      <c r="Q101">
        <v>1</v>
      </c>
      <c r="R101">
        <v>1</v>
      </c>
      <c r="S101">
        <v>1</v>
      </c>
      <c r="T101" s="2">
        <v>2.4</v>
      </c>
      <c r="U101">
        <v>0</v>
      </c>
      <c r="V101">
        <v>0</v>
      </c>
      <c r="W101">
        <v>1</v>
      </c>
      <c r="X101">
        <v>0</v>
      </c>
      <c r="Y101" s="2">
        <v>120</v>
      </c>
      <c r="Z101" s="2">
        <v>120</v>
      </c>
      <c r="AA101">
        <v>0.1</v>
      </c>
      <c r="AB101" t="s">
        <v>374</v>
      </c>
      <c r="AC101">
        <v>1</v>
      </c>
      <c r="AD101">
        <v>0</v>
      </c>
      <c r="AE101">
        <v>0</v>
      </c>
      <c r="AF101">
        <v>0</v>
      </c>
      <c r="AG101">
        <v>-150</v>
      </c>
      <c r="AH101">
        <v>15</v>
      </c>
      <c r="AI101">
        <v>-10</v>
      </c>
      <c r="AJ101">
        <v>30</v>
      </c>
      <c r="AO101">
        <v>5</v>
      </c>
      <c r="AQ101">
        <v>1</v>
      </c>
      <c r="AT101" s="5" t="str">
        <f t="shared" si="12"/>
        <v>Blank</v>
      </c>
      <c r="AU101" s="5" t="str">
        <f t="shared" si="13"/>
        <v>Blank</v>
      </c>
      <c r="AV101" s="5" t="str">
        <f t="shared" si="14"/>
        <v/>
      </c>
      <c r="AY101" s="5" t="str">
        <f t="shared" si="15"/>
        <v>Blank</v>
      </c>
      <c r="AZ101" s="5" t="str">
        <f t="shared" si="16"/>
        <v>Blank</v>
      </c>
      <c r="BA101" s="5" t="str">
        <f t="shared" si="17"/>
        <v/>
      </c>
      <c r="BH101" s="5">
        <v>1</v>
      </c>
      <c r="BI101" s="5">
        <v>0.25</v>
      </c>
      <c r="BJ101" s="5">
        <v>0.5</v>
      </c>
      <c r="BK101" s="5" t="str">
        <f t="shared" si="18"/>
        <v>Number</v>
      </c>
      <c r="BL101" s="5" t="str">
        <f t="shared" si="19"/>
        <v>Number</v>
      </c>
      <c r="BM101" s="5" t="str">
        <f t="shared" si="20"/>
        <v>Diff</v>
      </c>
      <c r="BN101" s="5">
        <v>0.18</v>
      </c>
      <c r="BO101" s="5">
        <v>0.36</v>
      </c>
      <c r="BP101" s="5" t="str">
        <f t="shared" si="21"/>
        <v>Number</v>
      </c>
      <c r="BQ101" s="5" t="str">
        <f t="shared" si="22"/>
        <v>Number</v>
      </c>
      <c r="BR101" s="5" t="str">
        <f t="shared" si="23"/>
        <v>Diff</v>
      </c>
      <c r="BS101" s="5">
        <v>0.8</v>
      </c>
      <c r="BT101" s="5">
        <v>0.6</v>
      </c>
      <c r="BU101" s="5">
        <v>0.6</v>
      </c>
      <c r="BX101" s="5">
        <v>0.6</v>
      </c>
      <c r="CA101" t="str">
        <f>IF(OR(AV101="Diff",BA101="Diff",BM101="Diff",BR101="Diff"),"Diff","")</f>
        <v>Diff</v>
      </c>
    </row>
    <row r="102" spans="1:79" x14ac:dyDescent="0.25">
      <c r="A102" t="s">
        <v>370</v>
      </c>
      <c r="B102" t="s">
        <v>167</v>
      </c>
      <c r="C102" t="s">
        <v>387</v>
      </c>
      <c r="D102" t="s">
        <v>388</v>
      </c>
      <c r="E102">
        <v>-9</v>
      </c>
      <c r="F102">
        <v>-9</v>
      </c>
      <c r="G102" t="s">
        <v>390</v>
      </c>
      <c r="H102" t="s">
        <v>393</v>
      </c>
      <c r="I102" t="s">
        <v>435</v>
      </c>
      <c r="J102" t="s">
        <v>392</v>
      </c>
      <c r="K102">
        <v>0</v>
      </c>
      <c r="L102">
        <v>900</v>
      </c>
      <c r="M102">
        <v>0</v>
      </c>
      <c r="N102">
        <v>5</v>
      </c>
      <c r="O102">
        <v>0</v>
      </c>
      <c r="P102">
        <v>0</v>
      </c>
      <c r="Q102">
        <v>1</v>
      </c>
      <c r="R102">
        <v>1</v>
      </c>
      <c r="S102">
        <v>1</v>
      </c>
      <c r="T102">
        <v>5</v>
      </c>
      <c r="U102">
        <v>5</v>
      </c>
      <c r="V102">
        <v>1</v>
      </c>
      <c r="W102">
        <v>1</v>
      </c>
      <c r="X102">
        <v>0</v>
      </c>
      <c r="Y102">
        <v>45</v>
      </c>
      <c r="Z102">
        <v>45</v>
      </c>
      <c r="AA102">
        <v>0.1</v>
      </c>
      <c r="AB102" t="s">
        <v>374</v>
      </c>
      <c r="AC102">
        <v>1</v>
      </c>
      <c r="AD102">
        <v>0</v>
      </c>
      <c r="AE102">
        <v>0</v>
      </c>
      <c r="AF102">
        <v>0</v>
      </c>
      <c r="AG102">
        <v>-150</v>
      </c>
      <c r="AH102">
        <v>15</v>
      </c>
      <c r="AI102">
        <v>-10</v>
      </c>
      <c r="AJ102">
        <v>15</v>
      </c>
      <c r="AO102">
        <v>5</v>
      </c>
      <c r="AQ102">
        <v>1</v>
      </c>
      <c r="AT102" s="5" t="str">
        <f t="shared" si="12"/>
        <v>Blank</v>
      </c>
      <c r="AU102" s="5" t="str">
        <f t="shared" si="13"/>
        <v>Blank</v>
      </c>
      <c r="AV102" s="5" t="str">
        <f t="shared" si="14"/>
        <v/>
      </c>
      <c r="AY102" s="5" t="str">
        <f t="shared" si="15"/>
        <v>Blank</v>
      </c>
      <c r="AZ102" s="5" t="str">
        <f t="shared" si="16"/>
        <v>Blank</v>
      </c>
      <c r="BA102" s="5" t="str">
        <f t="shared" si="17"/>
        <v/>
      </c>
      <c r="BH102" s="5">
        <v>1</v>
      </c>
      <c r="BI102" s="5">
        <v>0.25</v>
      </c>
      <c r="BK102" s="5" t="str">
        <f t="shared" si="18"/>
        <v>Number</v>
      </c>
      <c r="BL102" s="5" t="str">
        <f t="shared" si="19"/>
        <v>Blank</v>
      </c>
      <c r="BM102" s="5" t="str">
        <f t="shared" si="20"/>
        <v>Diff</v>
      </c>
      <c r="BN102" s="5">
        <v>0.18</v>
      </c>
      <c r="BP102" s="5" t="str">
        <f t="shared" si="21"/>
        <v>Number</v>
      </c>
      <c r="BQ102" s="5" t="str">
        <f t="shared" si="22"/>
        <v>Blank</v>
      </c>
      <c r="BR102" s="5" t="str">
        <f t="shared" si="23"/>
        <v>Diff</v>
      </c>
      <c r="BS102" s="5">
        <v>0.8</v>
      </c>
      <c r="BT102" s="5">
        <v>0.6</v>
      </c>
      <c r="BU102" s="5">
        <v>0.6</v>
      </c>
      <c r="BX102" s="5">
        <v>0.6</v>
      </c>
      <c r="CA102" t="str">
        <f>IF(OR(AV102="Diff",BA102="Diff",BM102="Diff",BR102="Diff"),"Diff","")</f>
        <v>Diff</v>
      </c>
    </row>
    <row r="103" spans="1:79" hidden="1" x14ac:dyDescent="0.25">
      <c r="A103" t="s">
        <v>271</v>
      </c>
      <c r="B103" t="s">
        <v>167</v>
      </c>
      <c r="C103" t="s">
        <v>387</v>
      </c>
      <c r="D103" t="s">
        <v>388</v>
      </c>
      <c r="E103">
        <v>110</v>
      </c>
      <c r="F103">
        <v>110</v>
      </c>
      <c r="G103" t="s">
        <v>383</v>
      </c>
      <c r="H103" t="s">
        <v>384</v>
      </c>
      <c r="I103" t="s">
        <v>385</v>
      </c>
      <c r="J103" t="s">
        <v>386</v>
      </c>
      <c r="K103">
        <v>1200</v>
      </c>
      <c r="L103" s="2" t="s">
        <v>373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1</v>
      </c>
      <c r="S103">
        <v>0</v>
      </c>
      <c r="T103">
        <v>2.5</v>
      </c>
      <c r="U103">
        <v>0</v>
      </c>
      <c r="V103">
        <v>0</v>
      </c>
      <c r="W103">
        <v>0</v>
      </c>
      <c r="X103">
        <v>0</v>
      </c>
      <c r="Y103">
        <v>260</v>
      </c>
      <c r="Z103">
        <v>40</v>
      </c>
      <c r="AA103">
        <v>0.1</v>
      </c>
      <c r="AB103" s="2" t="s">
        <v>374</v>
      </c>
      <c r="AC103">
        <v>0</v>
      </c>
      <c r="AD103">
        <v>0</v>
      </c>
      <c r="AE103">
        <v>0</v>
      </c>
      <c r="AF103">
        <v>20</v>
      </c>
      <c r="AG103">
        <v>0</v>
      </c>
      <c r="AH103">
        <v>0</v>
      </c>
      <c r="AI103">
        <v>0</v>
      </c>
      <c r="AJ103">
        <v>0</v>
      </c>
      <c r="AO103">
        <v>5</v>
      </c>
      <c r="AP103"/>
      <c r="AQ103">
        <v>1</v>
      </c>
      <c r="AT103" s="5" t="str">
        <f t="shared" si="12"/>
        <v>Blank</v>
      </c>
      <c r="AU103" s="5" t="str">
        <f t="shared" si="13"/>
        <v>Blank</v>
      </c>
      <c r="AV103" s="5" t="str">
        <f t="shared" si="14"/>
        <v/>
      </c>
      <c r="AY103" s="5" t="str">
        <f t="shared" si="15"/>
        <v>Blank</v>
      </c>
      <c r="AZ103" s="5" t="str">
        <f t="shared" si="16"/>
        <v>Blank</v>
      </c>
      <c r="BA103" s="5" t="str">
        <f t="shared" si="17"/>
        <v/>
      </c>
      <c r="BC103" s="5">
        <v>1.2</v>
      </c>
      <c r="BD103" s="5">
        <v>0.4</v>
      </c>
      <c r="BE103" s="5">
        <v>0.2</v>
      </c>
      <c r="BF103" s="5">
        <v>2.5</v>
      </c>
      <c r="BH103" s="5">
        <v>1</v>
      </c>
      <c r="BI103" s="5">
        <v>0.04</v>
      </c>
      <c r="BJ103" s="5">
        <v>0.04</v>
      </c>
      <c r="BK103" s="5" t="str">
        <f t="shared" si="18"/>
        <v>Number</v>
      </c>
      <c r="BL103" s="5" t="str">
        <f t="shared" si="19"/>
        <v>Number</v>
      </c>
      <c r="BM103" s="5" t="str">
        <f t="shared" si="20"/>
        <v/>
      </c>
      <c r="BN103" s="5">
        <v>0.09</v>
      </c>
      <c r="BO103" s="5">
        <v>0.09</v>
      </c>
      <c r="BP103" s="5" t="str">
        <f t="shared" si="21"/>
        <v>Number</v>
      </c>
      <c r="BQ103" s="5" t="str">
        <f t="shared" si="22"/>
        <v>Number</v>
      </c>
      <c r="BR103" s="5" t="str">
        <f t="shared" si="23"/>
        <v/>
      </c>
      <c r="BS103" s="5">
        <v>0.6</v>
      </c>
      <c r="BT103" s="5">
        <v>0.6</v>
      </c>
      <c r="BU103" s="5">
        <v>0.6</v>
      </c>
      <c r="BX103" s="5">
        <v>0.6</v>
      </c>
      <c r="BY103" s="5">
        <v>0</v>
      </c>
      <c r="CA103" t="str">
        <f>IF(OR(AV103="Diff",BA103="Diff",BM103="Diff",BR103="Diff"),"Diff","")</f>
        <v/>
      </c>
    </row>
    <row r="104" spans="1:79" hidden="1" x14ac:dyDescent="0.25">
      <c r="A104" t="s">
        <v>272</v>
      </c>
      <c r="B104" t="s">
        <v>167</v>
      </c>
      <c r="C104" t="s">
        <v>387</v>
      </c>
      <c r="D104" t="s">
        <v>388</v>
      </c>
      <c r="E104">
        <v>195</v>
      </c>
      <c r="F104">
        <v>195</v>
      </c>
      <c r="G104" t="s">
        <v>383</v>
      </c>
      <c r="H104" t="s">
        <v>384</v>
      </c>
      <c r="I104" t="s">
        <v>389</v>
      </c>
      <c r="J104" t="s">
        <v>386</v>
      </c>
      <c r="K104">
        <v>1200</v>
      </c>
      <c r="L104" s="2" t="s">
        <v>373</v>
      </c>
      <c r="M104">
        <v>0</v>
      </c>
      <c r="N104">
        <v>0</v>
      </c>
      <c r="O104">
        <v>0</v>
      </c>
      <c r="P104">
        <v>0</v>
      </c>
      <c r="Q104">
        <v>1</v>
      </c>
      <c r="R104">
        <v>1</v>
      </c>
      <c r="S104">
        <v>0</v>
      </c>
      <c r="T104">
        <v>2.5</v>
      </c>
      <c r="U104">
        <v>0</v>
      </c>
      <c r="V104">
        <v>0</v>
      </c>
      <c r="W104">
        <v>0</v>
      </c>
      <c r="X104">
        <v>0</v>
      </c>
      <c r="Y104">
        <v>260</v>
      </c>
      <c r="Z104">
        <v>40</v>
      </c>
      <c r="AA104">
        <v>0.1</v>
      </c>
      <c r="AB104" s="2" t="s">
        <v>374</v>
      </c>
      <c r="AC104">
        <v>0</v>
      </c>
      <c r="AD104">
        <v>0</v>
      </c>
      <c r="AE104">
        <v>0</v>
      </c>
      <c r="AF104">
        <v>20</v>
      </c>
      <c r="AG104">
        <v>0</v>
      </c>
      <c r="AH104">
        <v>0</v>
      </c>
      <c r="AI104">
        <v>0</v>
      </c>
      <c r="AJ104">
        <v>0</v>
      </c>
      <c r="AO104">
        <v>5</v>
      </c>
      <c r="AP104"/>
      <c r="AQ104">
        <v>1</v>
      </c>
      <c r="AT104" s="5" t="str">
        <f t="shared" si="12"/>
        <v>Blank</v>
      </c>
      <c r="AU104" s="5" t="str">
        <f t="shared" si="13"/>
        <v>Blank</v>
      </c>
      <c r="AV104" s="5" t="str">
        <f t="shared" si="14"/>
        <v/>
      </c>
      <c r="AY104" s="5" t="str">
        <f t="shared" si="15"/>
        <v>Blank</v>
      </c>
      <c r="AZ104" s="5" t="str">
        <f t="shared" si="16"/>
        <v>Blank</v>
      </c>
      <c r="BA104" s="5" t="str">
        <f t="shared" si="17"/>
        <v/>
      </c>
      <c r="BD104" s="5">
        <v>0.4</v>
      </c>
      <c r="BE104" s="5">
        <v>0.2</v>
      </c>
      <c r="BF104" s="5">
        <v>2.5</v>
      </c>
      <c r="BH104" s="5">
        <v>0</v>
      </c>
      <c r="BK104" s="5" t="str">
        <f t="shared" si="18"/>
        <v>Blank</v>
      </c>
      <c r="BL104" s="5" t="str">
        <f t="shared" si="19"/>
        <v>Blank</v>
      </c>
      <c r="BM104" s="5" t="str">
        <f t="shared" si="20"/>
        <v/>
      </c>
      <c r="BP104" s="5" t="str">
        <f t="shared" si="21"/>
        <v>Blank</v>
      </c>
      <c r="BQ104" s="5" t="str">
        <f t="shared" si="22"/>
        <v>Blank</v>
      </c>
      <c r="BR104" s="5" t="str">
        <f t="shared" si="23"/>
        <v/>
      </c>
      <c r="BY104" s="5">
        <v>1</v>
      </c>
      <c r="CA104" t="str">
        <f>IF(OR(AV104="Diff",BA104="Diff",BM104="Diff",BR104="Diff"),"Diff","")</f>
        <v/>
      </c>
    </row>
    <row r="105" spans="1:79" x14ac:dyDescent="0.25">
      <c r="A105" t="s">
        <v>273</v>
      </c>
      <c r="B105" t="s">
        <v>167</v>
      </c>
      <c r="C105" t="s">
        <v>387</v>
      </c>
      <c r="D105" t="s">
        <v>388</v>
      </c>
      <c r="E105">
        <v>25</v>
      </c>
      <c r="F105">
        <v>25</v>
      </c>
      <c r="G105" t="s">
        <v>390</v>
      </c>
      <c r="H105" t="s">
        <v>384</v>
      </c>
      <c r="I105" t="s">
        <v>391</v>
      </c>
      <c r="J105" t="s">
        <v>392</v>
      </c>
      <c r="K105">
        <v>400</v>
      </c>
      <c r="L105">
        <v>3000</v>
      </c>
      <c r="M105">
        <v>0</v>
      </c>
      <c r="N105">
        <v>0</v>
      </c>
      <c r="O105">
        <v>0</v>
      </c>
      <c r="P105">
        <v>0</v>
      </c>
      <c r="Q105">
        <v>1</v>
      </c>
      <c r="R105">
        <v>1</v>
      </c>
      <c r="S105">
        <v>1</v>
      </c>
      <c r="T105">
        <v>1.6</v>
      </c>
      <c r="U105">
        <v>0</v>
      </c>
      <c r="V105">
        <v>0</v>
      </c>
      <c r="W105">
        <v>1</v>
      </c>
      <c r="X105">
        <v>0</v>
      </c>
      <c r="Y105">
        <v>40</v>
      </c>
      <c r="Z105">
        <v>25</v>
      </c>
      <c r="AA105">
        <v>0.1</v>
      </c>
      <c r="AB105" s="2" t="s">
        <v>374</v>
      </c>
      <c r="AC105">
        <v>1</v>
      </c>
      <c r="AD105">
        <v>0</v>
      </c>
      <c r="AE105">
        <v>0</v>
      </c>
      <c r="AF105">
        <v>0</v>
      </c>
      <c r="AG105">
        <v>-160</v>
      </c>
      <c r="AH105">
        <v>160</v>
      </c>
      <c r="AI105">
        <v>-10</v>
      </c>
      <c r="AJ105">
        <v>60</v>
      </c>
      <c r="AO105">
        <v>50</v>
      </c>
      <c r="AQ105">
        <v>1</v>
      </c>
      <c r="AT105" s="5" t="str">
        <f t="shared" si="12"/>
        <v>Blank</v>
      </c>
      <c r="AU105" s="5" t="str">
        <f t="shared" si="13"/>
        <v>Blank</v>
      </c>
      <c r="AV105" s="5" t="str">
        <f t="shared" si="14"/>
        <v/>
      </c>
      <c r="AY105" s="5" t="str">
        <f t="shared" si="15"/>
        <v>Blank</v>
      </c>
      <c r="AZ105" s="5" t="str">
        <f t="shared" si="16"/>
        <v>Blank</v>
      </c>
      <c r="BA105" s="5" t="str">
        <f t="shared" si="17"/>
        <v/>
      </c>
      <c r="BH105" s="5">
        <v>1</v>
      </c>
      <c r="BI105" s="5">
        <v>1E-3</v>
      </c>
      <c r="BK105" s="5" t="str">
        <f t="shared" si="18"/>
        <v>Number</v>
      </c>
      <c r="BL105" s="5" t="str">
        <f t="shared" si="19"/>
        <v>Blank</v>
      </c>
      <c r="BM105" s="5" t="str">
        <f t="shared" si="20"/>
        <v>Diff</v>
      </c>
      <c r="BN105" s="5">
        <v>5.0000000000000001E-4</v>
      </c>
      <c r="BP105" s="5" t="str">
        <f t="shared" si="21"/>
        <v>Number</v>
      </c>
      <c r="BQ105" s="5" t="str">
        <f t="shared" si="22"/>
        <v>Blank</v>
      </c>
      <c r="BR105" s="5" t="str">
        <f t="shared" si="23"/>
        <v>Diff</v>
      </c>
      <c r="CA105" t="str">
        <f>IF(OR(AV105="Diff",BA105="Diff",BM105="Diff",BR105="Diff"),"Diff","")</f>
        <v>Diff</v>
      </c>
    </row>
    <row r="106" spans="1:79" x14ac:dyDescent="0.25">
      <c r="A106" t="s">
        <v>274</v>
      </c>
      <c r="B106" t="s">
        <v>167</v>
      </c>
      <c r="C106" t="s">
        <v>387</v>
      </c>
      <c r="D106" t="s">
        <v>388</v>
      </c>
      <c r="E106">
        <v>1400</v>
      </c>
      <c r="F106">
        <v>1400</v>
      </c>
      <c r="G106" t="s">
        <v>383</v>
      </c>
      <c r="H106" t="s">
        <v>393</v>
      </c>
      <c r="I106" t="s">
        <v>403</v>
      </c>
      <c r="J106" t="s">
        <v>392</v>
      </c>
      <c r="K106">
        <v>0</v>
      </c>
      <c r="L106">
        <v>3600</v>
      </c>
      <c r="M106">
        <v>0</v>
      </c>
      <c r="N106">
        <v>3</v>
      </c>
      <c r="O106">
        <v>0</v>
      </c>
      <c r="P106">
        <v>0</v>
      </c>
      <c r="Q106">
        <v>10</v>
      </c>
      <c r="R106">
        <v>0</v>
      </c>
      <c r="S106">
        <v>1</v>
      </c>
      <c r="T106">
        <v>5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0.1</v>
      </c>
      <c r="AB106" s="2" t="s">
        <v>374</v>
      </c>
      <c r="AC106">
        <v>1</v>
      </c>
      <c r="AD106">
        <v>0</v>
      </c>
      <c r="AE106">
        <v>2000</v>
      </c>
      <c r="AF106">
        <v>20</v>
      </c>
      <c r="AG106">
        <v>0</v>
      </c>
      <c r="AH106">
        <v>0</v>
      </c>
      <c r="AI106">
        <v>0</v>
      </c>
      <c r="AJ106">
        <v>0</v>
      </c>
      <c r="AO106">
        <v>5</v>
      </c>
      <c r="AQ106">
        <v>1</v>
      </c>
      <c r="AT106" s="5" t="str">
        <f t="shared" si="12"/>
        <v>Blank</v>
      </c>
      <c r="AU106" s="5" t="str">
        <f t="shared" si="13"/>
        <v>Blank</v>
      </c>
      <c r="AV106" s="5" t="str">
        <f t="shared" si="14"/>
        <v/>
      </c>
      <c r="AY106" s="5" t="str">
        <f t="shared" si="15"/>
        <v>Blank</v>
      </c>
      <c r="AZ106" s="5" t="str">
        <f t="shared" si="16"/>
        <v>Blank</v>
      </c>
      <c r="BA106" s="5" t="str">
        <f t="shared" si="17"/>
        <v/>
      </c>
      <c r="BH106" s="5">
        <v>1</v>
      </c>
      <c r="BI106" s="5">
        <v>0.05</v>
      </c>
      <c r="BK106" s="5" t="str">
        <f t="shared" si="18"/>
        <v>Number</v>
      </c>
      <c r="BL106" s="5" t="str">
        <f t="shared" si="19"/>
        <v>Blank</v>
      </c>
      <c r="BM106" s="5" t="str">
        <f t="shared" si="20"/>
        <v>Diff</v>
      </c>
      <c r="BN106" s="5">
        <v>0.03</v>
      </c>
      <c r="BP106" s="5" t="str">
        <f t="shared" si="21"/>
        <v>Number</v>
      </c>
      <c r="BQ106" s="5" t="str">
        <f t="shared" si="22"/>
        <v>Blank</v>
      </c>
      <c r="BR106" s="5" t="str">
        <f t="shared" si="23"/>
        <v>Diff</v>
      </c>
      <c r="CA106" t="str">
        <f>IF(OR(AV106="Diff",BA106="Diff",BM106="Diff",BR106="Diff"),"Diff","")</f>
        <v>Diff</v>
      </c>
    </row>
    <row r="107" spans="1:79" hidden="1" x14ac:dyDescent="0.25">
      <c r="A107" t="s">
        <v>275</v>
      </c>
      <c r="B107" t="s">
        <v>167</v>
      </c>
      <c r="C107" t="s">
        <v>387</v>
      </c>
      <c r="D107" t="s">
        <v>388</v>
      </c>
      <c r="E107" s="2">
        <v>9500</v>
      </c>
      <c r="F107" s="2">
        <v>9500</v>
      </c>
      <c r="G107" t="s">
        <v>383</v>
      </c>
      <c r="H107" t="s">
        <v>384</v>
      </c>
      <c r="I107" t="s">
        <v>421</v>
      </c>
      <c r="J107" t="s">
        <v>399</v>
      </c>
      <c r="K107">
        <v>4000</v>
      </c>
      <c r="L107" s="2">
        <v>5300</v>
      </c>
      <c r="M107">
        <v>0</v>
      </c>
      <c r="N107">
        <v>0</v>
      </c>
      <c r="O107">
        <v>0</v>
      </c>
      <c r="P107">
        <v>0</v>
      </c>
      <c r="Q107">
        <v>1</v>
      </c>
      <c r="R107">
        <v>1</v>
      </c>
      <c r="S107">
        <v>1</v>
      </c>
      <c r="T107">
        <v>15</v>
      </c>
      <c r="U107">
        <v>0</v>
      </c>
      <c r="V107">
        <v>0</v>
      </c>
      <c r="W107">
        <v>0</v>
      </c>
      <c r="X107">
        <v>0</v>
      </c>
      <c r="Y107">
        <v>260</v>
      </c>
      <c r="Z107">
        <v>40</v>
      </c>
      <c r="AA107">
        <v>0.1</v>
      </c>
      <c r="AB107" s="2" t="s">
        <v>374</v>
      </c>
      <c r="AC107">
        <v>0</v>
      </c>
      <c r="AD107">
        <v>0</v>
      </c>
      <c r="AE107">
        <v>0</v>
      </c>
      <c r="AF107">
        <v>6</v>
      </c>
      <c r="AG107">
        <v>0</v>
      </c>
      <c r="AH107">
        <v>0</v>
      </c>
      <c r="AI107">
        <v>0</v>
      </c>
      <c r="AJ107">
        <v>0</v>
      </c>
      <c r="AO107">
        <v>100</v>
      </c>
      <c r="AP107"/>
      <c r="AQ107">
        <v>1</v>
      </c>
      <c r="AT107" s="5" t="str">
        <f t="shared" si="12"/>
        <v>Blank</v>
      </c>
      <c r="AU107" s="5" t="str">
        <f t="shared" si="13"/>
        <v>Blank</v>
      </c>
      <c r="AV107" s="5" t="str">
        <f t="shared" si="14"/>
        <v/>
      </c>
      <c r="AY107" s="5" t="str">
        <f t="shared" si="15"/>
        <v>Blank</v>
      </c>
      <c r="AZ107" s="5" t="str">
        <f t="shared" si="16"/>
        <v>Blank</v>
      </c>
      <c r="BA107" s="5" t="str">
        <f t="shared" si="17"/>
        <v/>
      </c>
      <c r="BC107" s="5">
        <v>1.26</v>
      </c>
      <c r="BD107" s="5">
        <v>0.5</v>
      </c>
      <c r="BF107" s="5">
        <v>0.3</v>
      </c>
      <c r="BH107" s="5">
        <v>1</v>
      </c>
      <c r="BI107" s="5">
        <v>0</v>
      </c>
      <c r="BJ107" s="5">
        <v>0</v>
      </c>
      <c r="BK107" s="5" t="str">
        <f t="shared" si="18"/>
        <v>Zero</v>
      </c>
      <c r="BL107" s="5" t="str">
        <f t="shared" si="19"/>
        <v>Zero</v>
      </c>
      <c r="BM107" s="5" t="str">
        <f t="shared" si="20"/>
        <v/>
      </c>
      <c r="BN107" s="5">
        <v>0</v>
      </c>
      <c r="BO107" s="5">
        <v>0</v>
      </c>
      <c r="BP107" s="5" t="str">
        <f t="shared" si="21"/>
        <v>Zero</v>
      </c>
      <c r="BQ107" s="5" t="str">
        <f t="shared" si="22"/>
        <v>Zero</v>
      </c>
      <c r="BR107" s="5" t="str">
        <f t="shared" si="23"/>
        <v/>
      </c>
      <c r="BS107" s="5">
        <v>1</v>
      </c>
      <c r="CA107" t="str">
        <f>IF(OR(AV107="Diff",BA107="Diff",BM107="Diff",BR107="Diff"),"Diff","")</f>
        <v/>
      </c>
    </row>
    <row r="108" spans="1:79" hidden="1" x14ac:dyDescent="0.25">
      <c r="A108" t="s">
        <v>276</v>
      </c>
      <c r="B108" t="s">
        <v>167</v>
      </c>
      <c r="C108" t="s">
        <v>387</v>
      </c>
      <c r="D108" t="s">
        <v>388</v>
      </c>
      <c r="E108">
        <v>100</v>
      </c>
      <c r="F108">
        <v>100</v>
      </c>
      <c r="G108" t="s">
        <v>390</v>
      </c>
      <c r="H108" t="s">
        <v>393</v>
      </c>
      <c r="I108" t="s">
        <v>422</v>
      </c>
      <c r="J108" t="s">
        <v>392</v>
      </c>
      <c r="K108">
        <v>0</v>
      </c>
      <c r="L108">
        <v>1400</v>
      </c>
      <c r="M108">
        <v>0</v>
      </c>
      <c r="N108">
        <v>0.4</v>
      </c>
      <c r="O108">
        <v>0</v>
      </c>
      <c r="P108">
        <v>0</v>
      </c>
      <c r="Q108">
        <v>2</v>
      </c>
      <c r="R108">
        <v>0</v>
      </c>
      <c r="S108">
        <v>1</v>
      </c>
      <c r="T108">
        <v>0.7</v>
      </c>
      <c r="U108">
        <v>1.5</v>
      </c>
      <c r="V108">
        <v>1</v>
      </c>
      <c r="W108">
        <v>1</v>
      </c>
      <c r="X108">
        <v>1</v>
      </c>
      <c r="Y108">
        <v>120</v>
      </c>
      <c r="Z108">
        <v>120</v>
      </c>
      <c r="AA108">
        <v>0.1</v>
      </c>
      <c r="AB108" s="2" t="s">
        <v>374</v>
      </c>
      <c r="AC108">
        <v>1</v>
      </c>
      <c r="AD108">
        <v>0</v>
      </c>
      <c r="AE108">
        <v>300</v>
      </c>
      <c r="AF108">
        <v>0</v>
      </c>
      <c r="AG108">
        <v>-35</v>
      </c>
      <c r="AH108">
        <v>35</v>
      </c>
      <c r="AI108">
        <v>-60</v>
      </c>
      <c r="AJ108">
        <v>60</v>
      </c>
      <c r="AO108">
        <v>100</v>
      </c>
      <c r="AP108"/>
      <c r="AQ108">
        <v>1</v>
      </c>
      <c r="AT108" s="5" t="str">
        <f t="shared" si="12"/>
        <v>Blank</v>
      </c>
      <c r="AU108" s="5" t="str">
        <f t="shared" si="13"/>
        <v>Blank</v>
      </c>
      <c r="AV108" s="5" t="str">
        <f t="shared" si="14"/>
        <v/>
      </c>
      <c r="AY108" s="5" t="str">
        <f t="shared" si="15"/>
        <v>Blank</v>
      </c>
      <c r="AZ108" s="5" t="str">
        <f t="shared" si="16"/>
        <v>Blank</v>
      </c>
      <c r="BA108" s="5" t="str">
        <f t="shared" si="17"/>
        <v/>
      </c>
      <c r="BH108" s="5">
        <v>1</v>
      </c>
      <c r="BI108" s="5">
        <v>7.0000000000000007E-2</v>
      </c>
      <c r="BJ108" s="5">
        <v>7.0000000000000007E-2</v>
      </c>
      <c r="BK108" s="5" t="str">
        <f t="shared" si="18"/>
        <v>Number</v>
      </c>
      <c r="BL108" s="5" t="str">
        <f t="shared" si="19"/>
        <v>Number</v>
      </c>
      <c r="BM108" s="5" t="str">
        <f t="shared" si="20"/>
        <v/>
      </c>
      <c r="BN108" s="5">
        <v>0.3</v>
      </c>
      <c r="BO108" s="5">
        <v>0.3</v>
      </c>
      <c r="BP108" s="5" t="str">
        <f t="shared" si="21"/>
        <v>Number</v>
      </c>
      <c r="BQ108" s="5" t="str">
        <f t="shared" si="22"/>
        <v>Number</v>
      </c>
      <c r="BR108" s="5" t="str">
        <f t="shared" si="23"/>
        <v/>
      </c>
      <c r="CA108" t="str">
        <f>IF(OR(AV108="Diff",BA108="Diff",BM108="Diff",BR108="Diff"),"Diff","")</f>
        <v/>
      </c>
    </row>
    <row r="109" spans="1:79" hidden="1" x14ac:dyDescent="0.25">
      <c r="A109" t="s">
        <v>277</v>
      </c>
      <c r="B109" t="s">
        <v>167</v>
      </c>
      <c r="C109" t="s">
        <v>387</v>
      </c>
      <c r="D109" t="s">
        <v>388</v>
      </c>
      <c r="E109">
        <v>110</v>
      </c>
      <c r="F109">
        <v>110</v>
      </c>
      <c r="G109" t="s">
        <v>383</v>
      </c>
      <c r="H109" t="s">
        <v>384</v>
      </c>
      <c r="I109" t="s">
        <v>385</v>
      </c>
      <c r="J109" t="s">
        <v>399</v>
      </c>
      <c r="K109">
        <v>1200</v>
      </c>
      <c r="L109" s="2" t="s">
        <v>373</v>
      </c>
      <c r="M109">
        <v>0</v>
      </c>
      <c r="N109">
        <v>0</v>
      </c>
      <c r="O109">
        <v>0</v>
      </c>
      <c r="P109">
        <v>0</v>
      </c>
      <c r="Q109">
        <v>1</v>
      </c>
      <c r="R109">
        <v>1</v>
      </c>
      <c r="S109">
        <v>0</v>
      </c>
      <c r="T109">
        <v>2.5</v>
      </c>
      <c r="U109">
        <v>0</v>
      </c>
      <c r="V109">
        <v>0</v>
      </c>
      <c r="W109">
        <v>0</v>
      </c>
      <c r="X109">
        <v>0</v>
      </c>
      <c r="Y109">
        <v>260</v>
      </c>
      <c r="Z109">
        <v>40</v>
      </c>
      <c r="AA109">
        <v>0.1</v>
      </c>
      <c r="AB109" s="2" t="s">
        <v>374</v>
      </c>
      <c r="AC109">
        <v>0</v>
      </c>
      <c r="AD109">
        <v>0</v>
      </c>
      <c r="AE109">
        <v>0</v>
      </c>
      <c r="AF109">
        <v>20</v>
      </c>
      <c r="AG109">
        <v>0</v>
      </c>
      <c r="AH109">
        <v>0</v>
      </c>
      <c r="AI109">
        <v>0</v>
      </c>
      <c r="AJ109">
        <v>0</v>
      </c>
      <c r="AO109">
        <v>5</v>
      </c>
      <c r="AP109"/>
      <c r="AQ109">
        <v>1</v>
      </c>
      <c r="AT109" s="5" t="str">
        <f t="shared" si="12"/>
        <v>Blank</v>
      </c>
      <c r="AU109" s="5" t="str">
        <f t="shared" si="13"/>
        <v>Blank</v>
      </c>
      <c r="AV109" s="5" t="str">
        <f t="shared" si="14"/>
        <v/>
      </c>
      <c r="AY109" s="5" t="str">
        <f t="shared" si="15"/>
        <v>Blank</v>
      </c>
      <c r="AZ109" s="5" t="str">
        <f t="shared" si="16"/>
        <v>Blank</v>
      </c>
      <c r="BA109" s="5" t="str">
        <f t="shared" si="17"/>
        <v/>
      </c>
      <c r="BC109" s="5">
        <v>1.2</v>
      </c>
      <c r="BD109" s="5">
        <v>0.4</v>
      </c>
      <c r="BE109" s="5">
        <v>0.2</v>
      </c>
      <c r="BF109" s="5">
        <v>2.5</v>
      </c>
      <c r="BH109" s="5">
        <v>1</v>
      </c>
      <c r="BI109" s="5">
        <v>0.04</v>
      </c>
      <c r="BJ109" s="5">
        <v>0.04</v>
      </c>
      <c r="BK109" s="5" t="str">
        <f t="shared" si="18"/>
        <v>Number</v>
      </c>
      <c r="BL109" s="5" t="str">
        <f t="shared" si="19"/>
        <v>Number</v>
      </c>
      <c r="BM109" s="5" t="str">
        <f t="shared" si="20"/>
        <v/>
      </c>
      <c r="BN109" s="5">
        <v>0.09</v>
      </c>
      <c r="BO109" s="5">
        <v>0.09</v>
      </c>
      <c r="BP109" s="5" t="str">
        <f t="shared" si="21"/>
        <v>Number</v>
      </c>
      <c r="BQ109" s="5" t="str">
        <f t="shared" si="22"/>
        <v>Number</v>
      </c>
      <c r="BR109" s="5" t="str">
        <f t="shared" si="23"/>
        <v/>
      </c>
      <c r="BS109" s="5">
        <v>0.6</v>
      </c>
      <c r="BT109" s="5">
        <v>0.6</v>
      </c>
      <c r="BU109" s="5">
        <v>0.6</v>
      </c>
      <c r="BX109" s="5">
        <v>0.6</v>
      </c>
      <c r="CA109" t="str">
        <f>IF(OR(AV109="Diff",BA109="Diff",BM109="Diff",BR109="Diff"),"Diff","")</f>
        <v/>
      </c>
    </row>
    <row r="110" spans="1:79" hidden="1" x14ac:dyDescent="0.25">
      <c r="A110" t="s">
        <v>278</v>
      </c>
      <c r="B110" t="s">
        <v>167</v>
      </c>
      <c r="C110" t="s">
        <v>387</v>
      </c>
      <c r="D110" t="s">
        <v>388</v>
      </c>
      <c r="E110">
        <v>50</v>
      </c>
      <c r="F110">
        <v>50</v>
      </c>
      <c r="G110" t="s">
        <v>396</v>
      </c>
      <c r="H110" t="s">
        <v>400</v>
      </c>
      <c r="I110" t="s">
        <v>401</v>
      </c>
      <c r="J110" t="s">
        <v>392</v>
      </c>
      <c r="K110">
        <v>0</v>
      </c>
      <c r="L110">
        <v>0</v>
      </c>
      <c r="M110">
        <v>32</v>
      </c>
      <c r="N110">
        <v>2</v>
      </c>
      <c r="O110">
        <v>0</v>
      </c>
      <c r="P110">
        <v>0</v>
      </c>
      <c r="Q110">
        <v>10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0.1</v>
      </c>
      <c r="AB110" s="2" t="s">
        <v>374</v>
      </c>
      <c r="AC110">
        <v>1</v>
      </c>
      <c r="AD110">
        <v>0</v>
      </c>
      <c r="AE110">
        <v>0</v>
      </c>
      <c r="AF110">
        <v>180</v>
      </c>
      <c r="AG110">
        <v>0</v>
      </c>
      <c r="AH110">
        <v>0</v>
      </c>
      <c r="AI110">
        <v>0</v>
      </c>
      <c r="AJ110">
        <v>0</v>
      </c>
      <c r="AO110">
        <v>5</v>
      </c>
      <c r="AP110"/>
      <c r="AQ110">
        <v>1</v>
      </c>
      <c r="AT110" s="5" t="str">
        <f t="shared" si="12"/>
        <v>Blank</v>
      </c>
      <c r="AU110" s="5" t="str">
        <f t="shared" si="13"/>
        <v>Blank</v>
      </c>
      <c r="AV110" s="5" t="str">
        <f t="shared" si="14"/>
        <v/>
      </c>
      <c r="AY110" s="5" t="str">
        <f t="shared" si="15"/>
        <v>Blank</v>
      </c>
      <c r="AZ110" s="5" t="str">
        <f t="shared" si="16"/>
        <v>Blank</v>
      </c>
      <c r="BA110" s="5" t="str">
        <f t="shared" si="17"/>
        <v/>
      </c>
      <c r="BK110" s="5" t="str">
        <f t="shared" si="18"/>
        <v>Blank</v>
      </c>
      <c r="BL110" s="5" t="str">
        <f t="shared" si="19"/>
        <v>Blank</v>
      </c>
      <c r="BM110" s="5" t="str">
        <f t="shared" si="20"/>
        <v/>
      </c>
      <c r="BP110" s="5" t="str">
        <f t="shared" si="21"/>
        <v>Blank</v>
      </c>
      <c r="BQ110" s="5" t="str">
        <f t="shared" si="22"/>
        <v>Blank</v>
      </c>
      <c r="BR110" s="5" t="str">
        <f t="shared" si="23"/>
        <v/>
      </c>
      <c r="CA110" t="str">
        <f>IF(OR(AV110="Diff",BA110="Diff",BM110="Diff",BR110="Diff"),"Diff","")</f>
        <v/>
      </c>
    </row>
    <row r="111" spans="1:79" x14ac:dyDescent="0.25">
      <c r="A111" t="s">
        <v>279</v>
      </c>
      <c r="B111" t="s">
        <v>167</v>
      </c>
      <c r="C111" t="s">
        <v>387</v>
      </c>
      <c r="D111" t="s">
        <v>409</v>
      </c>
      <c r="E111">
        <v>0</v>
      </c>
      <c r="F111">
        <v>0</v>
      </c>
      <c r="G111" t="s">
        <v>396</v>
      </c>
      <c r="H111" t="s">
        <v>397</v>
      </c>
      <c r="I111" t="s">
        <v>423</v>
      </c>
      <c r="J111" t="s">
        <v>392</v>
      </c>
      <c r="K111">
        <v>40</v>
      </c>
      <c r="L111" s="2" t="s">
        <v>381</v>
      </c>
      <c r="M111">
        <v>0</v>
      </c>
      <c r="N111">
        <v>0</v>
      </c>
      <c r="O111">
        <v>0</v>
      </c>
      <c r="P111">
        <v>2</v>
      </c>
      <c r="Q111">
        <v>1</v>
      </c>
      <c r="R111">
        <v>0</v>
      </c>
      <c r="S111">
        <v>0</v>
      </c>
      <c r="T111">
        <v>7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0.1</v>
      </c>
      <c r="AB111" s="2" t="s">
        <v>374</v>
      </c>
      <c r="AC111">
        <v>0</v>
      </c>
      <c r="AD111">
        <v>0</v>
      </c>
      <c r="AE111">
        <v>0</v>
      </c>
      <c r="AF111">
        <v>180</v>
      </c>
      <c r="AG111">
        <v>0</v>
      </c>
      <c r="AH111">
        <v>0</v>
      </c>
      <c r="AI111">
        <v>0</v>
      </c>
      <c r="AJ111">
        <v>0</v>
      </c>
      <c r="AK111" t="s">
        <v>410</v>
      </c>
      <c r="AL111" t="s">
        <v>409</v>
      </c>
      <c r="AM111">
        <v>0</v>
      </c>
      <c r="AN111">
        <v>0</v>
      </c>
      <c r="AO111">
        <v>5</v>
      </c>
      <c r="AQ111">
        <v>1</v>
      </c>
      <c r="AT111" s="5" t="str">
        <f t="shared" si="12"/>
        <v>Blank</v>
      </c>
      <c r="AU111" s="5" t="str">
        <f t="shared" si="13"/>
        <v>Blank</v>
      </c>
      <c r="AV111" s="5" t="str">
        <f t="shared" si="14"/>
        <v/>
      </c>
      <c r="AY111" s="5" t="str">
        <f t="shared" si="15"/>
        <v>Blank</v>
      </c>
      <c r="AZ111" s="5" t="str">
        <f t="shared" si="16"/>
        <v>Blank</v>
      </c>
      <c r="BA111" s="5" t="str">
        <f t="shared" si="17"/>
        <v/>
      </c>
      <c r="BH111" s="5">
        <v>1</v>
      </c>
      <c r="BK111" s="5" t="str">
        <f t="shared" si="18"/>
        <v>Blank</v>
      </c>
      <c r="BL111" s="5" t="str">
        <f t="shared" si="19"/>
        <v>Blank</v>
      </c>
      <c r="BM111" s="5" t="str">
        <f t="shared" si="20"/>
        <v/>
      </c>
      <c r="BO111" s="5">
        <v>0</v>
      </c>
      <c r="BP111" s="5" t="str">
        <f t="shared" si="21"/>
        <v>Blank</v>
      </c>
      <c r="BQ111" s="5" t="str">
        <f t="shared" si="22"/>
        <v>Zero</v>
      </c>
      <c r="BR111" s="5" t="str">
        <f t="shared" si="23"/>
        <v>Diff</v>
      </c>
      <c r="CA111" t="str">
        <f>IF(OR(AV111="Diff",BA111="Diff",BM111="Diff",BR111="Diff"),"Diff","")</f>
        <v>Diff</v>
      </c>
    </row>
    <row r="112" spans="1:79" x14ac:dyDescent="0.25">
      <c r="A112" s="3" t="s">
        <v>478</v>
      </c>
      <c r="B112" t="s">
        <v>167</v>
      </c>
      <c r="C112" t="s">
        <v>387</v>
      </c>
      <c r="D112" t="s">
        <v>409</v>
      </c>
      <c r="E112">
        <v>0</v>
      </c>
      <c r="F112">
        <v>0</v>
      </c>
      <c r="G112" t="s">
        <v>396</v>
      </c>
      <c r="H112" t="s">
        <v>397</v>
      </c>
      <c r="I112" t="s">
        <v>423</v>
      </c>
      <c r="J112" t="s">
        <v>392</v>
      </c>
      <c r="K112">
        <v>40</v>
      </c>
      <c r="L112" t="s">
        <v>381</v>
      </c>
      <c r="M112">
        <v>0</v>
      </c>
      <c r="N112">
        <v>0</v>
      </c>
      <c r="O112">
        <v>0</v>
      </c>
      <c r="P112">
        <v>2</v>
      </c>
      <c r="Q112">
        <v>1</v>
      </c>
      <c r="R112">
        <v>0</v>
      </c>
      <c r="S112">
        <v>0</v>
      </c>
      <c r="T112">
        <v>7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0.1</v>
      </c>
      <c r="AB112" t="s">
        <v>374</v>
      </c>
      <c r="AC112">
        <v>0</v>
      </c>
      <c r="AD112">
        <v>0</v>
      </c>
      <c r="AE112">
        <v>0</v>
      </c>
      <c r="AF112">
        <v>180</v>
      </c>
      <c r="AG112">
        <v>0</v>
      </c>
      <c r="AH112">
        <v>0</v>
      </c>
      <c r="AI112">
        <v>0</v>
      </c>
      <c r="AJ112">
        <v>0</v>
      </c>
      <c r="AK112" t="s">
        <v>410</v>
      </c>
      <c r="AL112" t="s">
        <v>409</v>
      </c>
      <c r="AM112">
        <v>0</v>
      </c>
      <c r="AN112">
        <v>0</v>
      </c>
      <c r="AO112">
        <v>5</v>
      </c>
      <c r="AQ112">
        <v>1</v>
      </c>
      <c r="AT112" s="5" t="str">
        <f t="shared" si="12"/>
        <v>Blank</v>
      </c>
      <c r="AU112" s="5" t="str">
        <f t="shared" si="13"/>
        <v>Blank</v>
      </c>
      <c r="AV112" s="5" t="str">
        <f t="shared" si="14"/>
        <v/>
      </c>
      <c r="AY112" s="5" t="str">
        <f t="shared" si="15"/>
        <v>Blank</v>
      </c>
      <c r="AZ112" s="5" t="str">
        <f t="shared" si="16"/>
        <v>Blank</v>
      </c>
      <c r="BA112" s="5" t="str">
        <f t="shared" si="17"/>
        <v/>
      </c>
      <c r="BH112" s="5">
        <v>0</v>
      </c>
      <c r="BK112" s="5" t="str">
        <f t="shared" si="18"/>
        <v>Blank</v>
      </c>
      <c r="BL112" s="5" t="str">
        <f t="shared" si="19"/>
        <v>Blank</v>
      </c>
      <c r="BM112" s="5" t="str">
        <f t="shared" si="20"/>
        <v/>
      </c>
      <c r="BO112" s="5">
        <v>1</v>
      </c>
      <c r="BP112" s="5" t="str">
        <f t="shared" si="21"/>
        <v>Blank</v>
      </c>
      <c r="BQ112" s="5" t="str">
        <f t="shared" si="22"/>
        <v>Number</v>
      </c>
      <c r="BR112" s="5" t="str">
        <f t="shared" si="23"/>
        <v>Diff</v>
      </c>
      <c r="CA112" t="str">
        <f>IF(OR(AV112="Diff",BA112="Diff",BM112="Diff",BR112="Diff"),"Diff","")</f>
        <v>Diff</v>
      </c>
    </row>
    <row r="113" spans="1:79" hidden="1" x14ac:dyDescent="0.25">
      <c r="A113" s="3" t="s">
        <v>371</v>
      </c>
      <c r="B113" t="s">
        <v>167</v>
      </c>
      <c r="C113" t="s">
        <v>387</v>
      </c>
      <c r="D113" t="s">
        <v>409</v>
      </c>
      <c r="E113">
        <v>0</v>
      </c>
      <c r="F113">
        <v>0</v>
      </c>
      <c r="G113" t="s">
        <v>396</v>
      </c>
      <c r="H113" t="s">
        <v>397</v>
      </c>
      <c r="I113" t="s">
        <v>439</v>
      </c>
      <c r="J113" t="s">
        <v>392</v>
      </c>
      <c r="K113">
        <v>40</v>
      </c>
      <c r="L113">
        <v>2800</v>
      </c>
      <c r="M113">
        <v>0</v>
      </c>
      <c r="N113">
        <v>0</v>
      </c>
      <c r="O113">
        <v>0</v>
      </c>
      <c r="P113">
        <v>2</v>
      </c>
      <c r="Q113">
        <v>1</v>
      </c>
      <c r="R113">
        <v>0</v>
      </c>
      <c r="S113">
        <v>0</v>
      </c>
      <c r="T113">
        <v>6.8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0.1</v>
      </c>
      <c r="AB113" t="s">
        <v>374</v>
      </c>
      <c r="AC113">
        <v>0</v>
      </c>
      <c r="AD113">
        <v>0</v>
      </c>
      <c r="AE113">
        <v>0</v>
      </c>
      <c r="AF113">
        <v>180</v>
      </c>
      <c r="AG113">
        <v>0</v>
      </c>
      <c r="AH113">
        <v>0</v>
      </c>
      <c r="AI113">
        <v>0</v>
      </c>
      <c r="AJ113">
        <v>0</v>
      </c>
      <c r="AK113" t="s">
        <v>410</v>
      </c>
      <c r="AL113" t="s">
        <v>409</v>
      </c>
      <c r="AM113">
        <v>0</v>
      </c>
      <c r="AN113">
        <v>0</v>
      </c>
      <c r="AO113">
        <v>5</v>
      </c>
      <c r="AP113"/>
      <c r="AQ113">
        <v>1</v>
      </c>
      <c r="AT113" s="5" t="str">
        <f t="shared" si="12"/>
        <v>Blank</v>
      </c>
      <c r="AU113" s="5" t="str">
        <f t="shared" si="13"/>
        <v>Blank</v>
      </c>
      <c r="AV113" s="5" t="str">
        <f t="shared" si="14"/>
        <v/>
      </c>
      <c r="AY113" s="5" t="str">
        <f t="shared" si="15"/>
        <v>Blank</v>
      </c>
      <c r="AZ113" s="5" t="str">
        <f t="shared" si="16"/>
        <v>Blank</v>
      </c>
      <c r="BA113" s="5" t="str">
        <f t="shared" si="17"/>
        <v/>
      </c>
      <c r="BH113" s="5">
        <v>1</v>
      </c>
      <c r="BK113" s="5" t="str">
        <f t="shared" si="18"/>
        <v>Blank</v>
      </c>
      <c r="BL113" s="5" t="str">
        <f t="shared" si="19"/>
        <v>Blank</v>
      </c>
      <c r="BM113" s="5" t="str">
        <f t="shared" si="20"/>
        <v/>
      </c>
      <c r="BP113" s="5" t="str">
        <f t="shared" si="21"/>
        <v>Blank</v>
      </c>
      <c r="BQ113" s="5" t="str">
        <f t="shared" si="22"/>
        <v>Blank</v>
      </c>
      <c r="BR113" s="5" t="str">
        <f t="shared" si="23"/>
        <v/>
      </c>
      <c r="CA113" t="str">
        <f>IF(OR(AV113="Diff",BA113="Diff",BM113="Diff",BR113="Diff"),"Diff","")</f>
        <v/>
      </c>
    </row>
    <row r="114" spans="1:79" hidden="1" x14ac:dyDescent="0.25">
      <c r="A114" s="3" t="s">
        <v>522</v>
      </c>
      <c r="B114" t="s">
        <v>167</v>
      </c>
      <c r="C114" t="s">
        <v>387</v>
      </c>
      <c r="D114" t="s">
        <v>409</v>
      </c>
      <c r="E114">
        <v>0</v>
      </c>
      <c r="F114">
        <v>0</v>
      </c>
      <c r="G114" t="s">
        <v>396</v>
      </c>
      <c r="H114" t="s">
        <v>397</v>
      </c>
      <c r="I114" t="s">
        <v>439</v>
      </c>
      <c r="J114" t="s">
        <v>392</v>
      </c>
      <c r="K114">
        <v>40</v>
      </c>
      <c r="L114">
        <v>2800</v>
      </c>
      <c r="M114">
        <v>0</v>
      </c>
      <c r="N114">
        <v>0</v>
      </c>
      <c r="O114">
        <v>0</v>
      </c>
      <c r="P114">
        <v>2</v>
      </c>
      <c r="Q114">
        <v>1</v>
      </c>
      <c r="R114">
        <v>0</v>
      </c>
      <c r="S114">
        <v>0</v>
      </c>
      <c r="T114">
        <v>6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0.1</v>
      </c>
      <c r="AB114" t="s">
        <v>374</v>
      </c>
      <c r="AC114">
        <v>0</v>
      </c>
      <c r="AD114">
        <v>0</v>
      </c>
      <c r="AE114">
        <v>0</v>
      </c>
      <c r="AF114">
        <v>180</v>
      </c>
      <c r="AG114">
        <v>0</v>
      </c>
      <c r="AH114">
        <v>0</v>
      </c>
      <c r="AI114">
        <v>0</v>
      </c>
      <c r="AJ114">
        <v>0</v>
      </c>
      <c r="AK114" t="s">
        <v>410</v>
      </c>
      <c r="AL114" t="s">
        <v>409</v>
      </c>
      <c r="AM114">
        <v>0</v>
      </c>
      <c r="AN114">
        <v>0</v>
      </c>
      <c r="AO114">
        <v>5</v>
      </c>
      <c r="AP114"/>
      <c r="AQ114">
        <v>1</v>
      </c>
      <c r="AT114" s="5" t="str">
        <f t="shared" si="12"/>
        <v>Blank</v>
      </c>
      <c r="AU114" s="5" t="str">
        <f t="shared" si="13"/>
        <v>Blank</v>
      </c>
      <c r="AV114" s="5" t="str">
        <f t="shared" si="14"/>
        <v/>
      </c>
      <c r="AY114" s="5" t="str">
        <f t="shared" si="15"/>
        <v>Blank</v>
      </c>
      <c r="AZ114" s="5" t="str">
        <f t="shared" si="16"/>
        <v>Blank</v>
      </c>
      <c r="BA114" s="5" t="str">
        <f t="shared" si="17"/>
        <v/>
      </c>
      <c r="BH114" s="5">
        <v>1</v>
      </c>
      <c r="BK114" s="5" t="str">
        <f t="shared" si="18"/>
        <v>Blank</v>
      </c>
      <c r="BL114" s="5" t="str">
        <f t="shared" si="19"/>
        <v>Blank</v>
      </c>
      <c r="BM114" s="5" t="str">
        <f t="shared" si="20"/>
        <v/>
      </c>
      <c r="BP114" s="5" t="str">
        <f t="shared" si="21"/>
        <v>Blank</v>
      </c>
      <c r="BQ114" s="5" t="str">
        <f t="shared" si="22"/>
        <v>Blank</v>
      </c>
      <c r="BR114" s="5" t="str">
        <f t="shared" si="23"/>
        <v/>
      </c>
      <c r="CA114" t="str">
        <f>IF(OR(AV114="Diff",BA114="Diff",BM114="Diff",BR114="Diff"),"Diff","")</f>
        <v/>
      </c>
    </row>
    <row r="115" spans="1:79" x14ac:dyDescent="0.25">
      <c r="A115" s="3" t="s">
        <v>523</v>
      </c>
      <c r="B115" t="s">
        <v>167</v>
      </c>
      <c r="C115" t="s">
        <v>387</v>
      </c>
      <c r="D115" t="s">
        <v>409</v>
      </c>
      <c r="E115">
        <v>0</v>
      </c>
      <c r="F115">
        <v>0</v>
      </c>
      <c r="G115" t="s">
        <v>396</v>
      </c>
      <c r="H115" t="s">
        <v>397</v>
      </c>
      <c r="I115" t="s">
        <v>439</v>
      </c>
      <c r="J115" t="s">
        <v>392</v>
      </c>
      <c r="K115">
        <v>40</v>
      </c>
      <c r="L115">
        <v>4000</v>
      </c>
      <c r="M115">
        <v>0</v>
      </c>
      <c r="N115">
        <v>0</v>
      </c>
      <c r="O115">
        <v>0</v>
      </c>
      <c r="P115">
        <v>2</v>
      </c>
      <c r="Q115">
        <v>1</v>
      </c>
      <c r="R115">
        <v>0</v>
      </c>
      <c r="S115">
        <v>0</v>
      </c>
      <c r="T115">
        <v>5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0.1</v>
      </c>
      <c r="AB115" t="s">
        <v>374</v>
      </c>
      <c r="AC115">
        <v>0</v>
      </c>
      <c r="AD115">
        <v>0</v>
      </c>
      <c r="AE115">
        <v>0</v>
      </c>
      <c r="AF115">
        <v>180</v>
      </c>
      <c r="AG115">
        <v>0</v>
      </c>
      <c r="AH115">
        <v>0</v>
      </c>
      <c r="AI115">
        <v>0</v>
      </c>
      <c r="AJ115">
        <v>0</v>
      </c>
      <c r="AK115" t="s">
        <v>410</v>
      </c>
      <c r="AL115" t="s">
        <v>409</v>
      </c>
      <c r="AM115">
        <v>0</v>
      </c>
      <c r="AN115">
        <v>0</v>
      </c>
      <c r="AO115">
        <v>5</v>
      </c>
      <c r="AQ115">
        <v>1</v>
      </c>
      <c r="AT115" s="5" t="str">
        <f t="shared" si="12"/>
        <v>Blank</v>
      </c>
      <c r="AU115" s="5" t="str">
        <f t="shared" si="13"/>
        <v>Blank</v>
      </c>
      <c r="AV115" s="5" t="str">
        <f t="shared" si="14"/>
        <v/>
      </c>
      <c r="AY115" s="5" t="str">
        <f t="shared" si="15"/>
        <v>Blank</v>
      </c>
      <c r="AZ115" s="5" t="str">
        <f t="shared" si="16"/>
        <v>Blank</v>
      </c>
      <c r="BA115" s="5" t="str">
        <f t="shared" si="17"/>
        <v/>
      </c>
      <c r="BH115" s="5">
        <v>0</v>
      </c>
      <c r="BK115" s="5" t="str">
        <f t="shared" si="18"/>
        <v>Blank</v>
      </c>
      <c r="BL115" s="5" t="str">
        <f t="shared" si="19"/>
        <v>Blank</v>
      </c>
      <c r="BM115" s="5" t="str">
        <f t="shared" si="20"/>
        <v/>
      </c>
      <c r="BO115" s="5">
        <v>1</v>
      </c>
      <c r="BP115" s="5" t="str">
        <f t="shared" si="21"/>
        <v>Blank</v>
      </c>
      <c r="BQ115" s="5" t="str">
        <f t="shared" si="22"/>
        <v>Number</v>
      </c>
      <c r="BR115" s="5" t="str">
        <f t="shared" si="23"/>
        <v>Diff</v>
      </c>
      <c r="CA115" t="str">
        <f>IF(OR(AV115="Diff",BA115="Diff",BM115="Diff",BR115="Diff"),"Diff","")</f>
        <v>Diff</v>
      </c>
    </row>
    <row r="116" spans="1:79" x14ac:dyDescent="0.25">
      <c r="A116" t="s">
        <v>280</v>
      </c>
      <c r="B116" t="s">
        <v>167</v>
      </c>
      <c r="C116" t="s">
        <v>387</v>
      </c>
      <c r="D116" t="s">
        <v>388</v>
      </c>
      <c r="E116">
        <v>30</v>
      </c>
      <c r="F116">
        <v>30</v>
      </c>
      <c r="G116" t="s">
        <v>383</v>
      </c>
      <c r="H116" t="s">
        <v>384</v>
      </c>
      <c r="I116" t="s">
        <v>407</v>
      </c>
      <c r="J116" t="s">
        <v>392</v>
      </c>
      <c r="K116">
        <v>1200</v>
      </c>
      <c r="L116" s="2" t="s">
        <v>382</v>
      </c>
      <c r="M116">
        <v>0</v>
      </c>
      <c r="N116">
        <v>0</v>
      </c>
      <c r="O116">
        <v>0</v>
      </c>
      <c r="P116">
        <v>0</v>
      </c>
      <c r="Q116">
        <v>1</v>
      </c>
      <c r="R116">
        <v>1</v>
      </c>
      <c r="S116">
        <v>1</v>
      </c>
      <c r="T116">
        <v>1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0.1</v>
      </c>
      <c r="AB116" s="2" t="s">
        <v>374</v>
      </c>
      <c r="AC116">
        <v>0</v>
      </c>
      <c r="AD116">
        <v>0</v>
      </c>
      <c r="AE116">
        <v>0</v>
      </c>
      <c r="AF116" s="2">
        <v>23</v>
      </c>
      <c r="AG116">
        <v>0</v>
      </c>
      <c r="AH116">
        <v>0</v>
      </c>
      <c r="AI116">
        <v>0</v>
      </c>
      <c r="AJ116">
        <v>0</v>
      </c>
      <c r="AO116">
        <v>5</v>
      </c>
      <c r="AQ116">
        <v>1</v>
      </c>
      <c r="AS116" s="5">
        <v>1.9</v>
      </c>
      <c r="AT116" s="5" t="str">
        <f t="shared" si="12"/>
        <v>Blank</v>
      </c>
      <c r="AU116" s="5" t="str">
        <f t="shared" si="13"/>
        <v>Number</v>
      </c>
      <c r="AV116" s="5" t="str">
        <f t="shared" si="14"/>
        <v>Diff</v>
      </c>
      <c r="AX116" s="5">
        <v>1.8</v>
      </c>
      <c r="AY116" s="5" t="str">
        <f t="shared" si="15"/>
        <v>Blank</v>
      </c>
      <c r="AZ116" s="5" t="str">
        <f t="shared" si="16"/>
        <v>Number</v>
      </c>
      <c r="BA116" s="5" t="str">
        <f t="shared" si="17"/>
        <v>Diff</v>
      </c>
      <c r="BB116" s="5">
        <v>1.0900000000000001</v>
      </c>
      <c r="BC116" s="5">
        <v>1</v>
      </c>
      <c r="BE116" s="5">
        <v>0.6</v>
      </c>
      <c r="BF116" s="5">
        <v>3</v>
      </c>
      <c r="BH116" s="5">
        <v>1</v>
      </c>
      <c r="BI116" s="5">
        <v>9.5000000000000001E-2</v>
      </c>
      <c r="BJ116" s="5">
        <v>0.18</v>
      </c>
      <c r="BK116" s="5" t="str">
        <f t="shared" si="18"/>
        <v>Number</v>
      </c>
      <c r="BL116" s="5" t="str">
        <f t="shared" si="19"/>
        <v>Number</v>
      </c>
      <c r="BM116" s="5" t="str">
        <f t="shared" si="20"/>
        <v>Diff</v>
      </c>
      <c r="BN116" s="5">
        <v>0.13</v>
      </c>
      <c r="BO116" s="5">
        <v>0.21</v>
      </c>
      <c r="BP116" s="5" t="str">
        <f t="shared" si="21"/>
        <v>Number</v>
      </c>
      <c r="BQ116" s="5" t="str">
        <f t="shared" si="22"/>
        <v>Number</v>
      </c>
      <c r="BR116" s="5" t="str">
        <f t="shared" si="23"/>
        <v>Diff</v>
      </c>
      <c r="BS116" s="5">
        <v>0.6</v>
      </c>
      <c r="BT116" s="5">
        <v>0.6</v>
      </c>
      <c r="BU116" s="5">
        <v>0.6</v>
      </c>
      <c r="BX116" s="5">
        <v>0.6</v>
      </c>
      <c r="CA116" t="str">
        <f>IF(OR(AV116="Diff",BA116="Diff",BM116="Diff",BR116="Diff"),"Diff","")</f>
        <v>Diff</v>
      </c>
    </row>
    <row r="117" spans="1:79" x14ac:dyDescent="0.25">
      <c r="A117" t="s">
        <v>281</v>
      </c>
      <c r="B117" t="s">
        <v>167</v>
      </c>
      <c r="C117" t="s">
        <v>387</v>
      </c>
      <c r="D117" t="s">
        <v>388</v>
      </c>
      <c r="E117">
        <v>95</v>
      </c>
      <c r="F117">
        <v>95</v>
      </c>
      <c r="G117" t="s">
        <v>390</v>
      </c>
      <c r="H117" t="s">
        <v>384</v>
      </c>
      <c r="I117" t="s">
        <v>414</v>
      </c>
      <c r="J117" t="s">
        <v>392</v>
      </c>
      <c r="K117">
        <v>2000</v>
      </c>
      <c r="L117">
        <v>2500</v>
      </c>
      <c r="M117">
        <v>0</v>
      </c>
      <c r="N117">
        <v>0</v>
      </c>
      <c r="O117">
        <v>0</v>
      </c>
      <c r="P117">
        <v>0</v>
      </c>
      <c r="Q117">
        <v>1</v>
      </c>
      <c r="R117">
        <v>1</v>
      </c>
      <c r="S117">
        <v>1</v>
      </c>
      <c r="T117" s="2">
        <v>1.9</v>
      </c>
      <c r="U117">
        <v>0</v>
      </c>
      <c r="V117">
        <v>0</v>
      </c>
      <c r="W117">
        <v>1</v>
      </c>
      <c r="X117">
        <v>0</v>
      </c>
      <c r="Y117" s="2">
        <v>85</v>
      </c>
      <c r="Z117" s="2">
        <v>85</v>
      </c>
      <c r="AA117">
        <v>0.1</v>
      </c>
      <c r="AB117" s="2" t="s">
        <v>374</v>
      </c>
      <c r="AC117">
        <v>1</v>
      </c>
      <c r="AD117">
        <v>0</v>
      </c>
      <c r="AE117">
        <v>0</v>
      </c>
      <c r="AF117">
        <v>0</v>
      </c>
      <c r="AG117">
        <v>-150</v>
      </c>
      <c r="AH117">
        <v>150</v>
      </c>
      <c r="AI117">
        <v>-10</v>
      </c>
      <c r="AJ117">
        <v>60</v>
      </c>
      <c r="AO117">
        <v>5</v>
      </c>
      <c r="AQ117">
        <v>1</v>
      </c>
      <c r="AR117" s="5">
        <v>0.31900000000000001</v>
      </c>
      <c r="AS117" s="5">
        <v>0.66</v>
      </c>
      <c r="AT117" s="5" t="str">
        <f t="shared" si="12"/>
        <v>Number</v>
      </c>
      <c r="AU117" s="5" t="str">
        <f t="shared" si="13"/>
        <v>Number</v>
      </c>
      <c r="AV117" s="5" t="str">
        <f t="shared" si="14"/>
        <v>Diff</v>
      </c>
      <c r="AW117" s="5">
        <v>1</v>
      </c>
      <c r="AX117" s="5">
        <v>1.5</v>
      </c>
      <c r="AY117" s="5" t="str">
        <f t="shared" si="15"/>
        <v>Number</v>
      </c>
      <c r="AZ117" s="5" t="str">
        <f t="shared" si="16"/>
        <v>Number</v>
      </c>
      <c r="BA117" s="5" t="str">
        <f t="shared" si="17"/>
        <v>Diff</v>
      </c>
      <c r="BB117" s="5">
        <v>0.82</v>
      </c>
      <c r="BC117" s="5">
        <v>0.79</v>
      </c>
      <c r="BH117" s="5">
        <v>1</v>
      </c>
      <c r="BI117" s="5">
        <v>0.31</v>
      </c>
      <c r="BJ117" s="5">
        <v>0.64</v>
      </c>
      <c r="BK117" s="5" t="str">
        <f t="shared" si="18"/>
        <v>Number</v>
      </c>
      <c r="BL117" s="5" t="str">
        <f t="shared" si="19"/>
        <v>Number</v>
      </c>
      <c r="BM117" s="5" t="str">
        <f t="shared" si="20"/>
        <v>Diff</v>
      </c>
      <c r="BN117" s="5">
        <v>0.13</v>
      </c>
      <c r="BO117" s="5">
        <v>0.13</v>
      </c>
      <c r="BP117" s="5" t="str">
        <f t="shared" si="21"/>
        <v>Number</v>
      </c>
      <c r="BQ117" s="5" t="str">
        <f t="shared" si="22"/>
        <v>Number</v>
      </c>
      <c r="BR117" s="5" t="str">
        <f t="shared" si="23"/>
        <v/>
      </c>
      <c r="BS117" s="5">
        <v>0.7</v>
      </c>
      <c r="BT117" s="5">
        <v>0.7</v>
      </c>
      <c r="BU117" s="5">
        <v>0.7</v>
      </c>
      <c r="BX117" s="5">
        <v>0.6</v>
      </c>
      <c r="CA117" t="str">
        <f>IF(OR(AV117="Diff",BA117="Diff",BM117="Diff",BR117="Diff"),"Diff","")</f>
        <v>Diff</v>
      </c>
    </row>
    <row r="118" spans="1:79" x14ac:dyDescent="0.25">
      <c r="A118" t="s">
        <v>282</v>
      </c>
      <c r="B118" t="s">
        <v>167</v>
      </c>
      <c r="C118" t="s">
        <v>387</v>
      </c>
      <c r="D118" t="s">
        <v>388</v>
      </c>
      <c r="E118">
        <v>95</v>
      </c>
      <c r="F118">
        <v>95</v>
      </c>
      <c r="G118" t="s">
        <v>390</v>
      </c>
      <c r="H118" t="s">
        <v>384</v>
      </c>
      <c r="I118" t="s">
        <v>414</v>
      </c>
      <c r="J118" t="s">
        <v>392</v>
      </c>
      <c r="K118">
        <v>2000</v>
      </c>
      <c r="L118">
        <v>2500</v>
      </c>
      <c r="M118">
        <v>0</v>
      </c>
      <c r="N118">
        <v>0</v>
      </c>
      <c r="O118">
        <v>0</v>
      </c>
      <c r="P118">
        <v>0</v>
      </c>
      <c r="Q118">
        <v>1</v>
      </c>
      <c r="R118">
        <v>1</v>
      </c>
      <c r="S118">
        <v>1</v>
      </c>
      <c r="T118" s="2">
        <v>1.9</v>
      </c>
      <c r="U118">
        <v>0</v>
      </c>
      <c r="V118">
        <v>0</v>
      </c>
      <c r="W118">
        <v>1</v>
      </c>
      <c r="X118">
        <v>0</v>
      </c>
      <c r="Y118" s="2">
        <v>85</v>
      </c>
      <c r="Z118" s="2">
        <v>85</v>
      </c>
      <c r="AA118">
        <v>0.1</v>
      </c>
      <c r="AB118" s="2" t="s">
        <v>374</v>
      </c>
      <c r="AC118">
        <v>1</v>
      </c>
      <c r="AD118">
        <v>0</v>
      </c>
      <c r="AE118">
        <v>0</v>
      </c>
      <c r="AF118">
        <v>0</v>
      </c>
      <c r="AG118">
        <v>-180</v>
      </c>
      <c r="AH118">
        <v>13</v>
      </c>
      <c r="AI118">
        <v>-10</v>
      </c>
      <c r="AJ118">
        <v>60</v>
      </c>
      <c r="AO118">
        <v>5</v>
      </c>
      <c r="AQ118">
        <v>1</v>
      </c>
      <c r="AR118" s="5">
        <v>0.31900000000000001</v>
      </c>
      <c r="AS118" s="5">
        <v>0.66</v>
      </c>
      <c r="AT118" s="5" t="str">
        <f t="shared" si="12"/>
        <v>Number</v>
      </c>
      <c r="AU118" s="5" t="str">
        <f t="shared" si="13"/>
        <v>Number</v>
      </c>
      <c r="AV118" s="5" t="str">
        <f t="shared" si="14"/>
        <v>Diff</v>
      </c>
      <c r="AW118" s="5">
        <v>1</v>
      </c>
      <c r="AX118" s="5">
        <v>1.5</v>
      </c>
      <c r="AY118" s="5" t="str">
        <f t="shared" si="15"/>
        <v>Number</v>
      </c>
      <c r="AZ118" s="5" t="str">
        <f t="shared" si="16"/>
        <v>Number</v>
      </c>
      <c r="BA118" s="5" t="str">
        <f t="shared" si="17"/>
        <v>Diff</v>
      </c>
      <c r="BB118" s="5">
        <v>0.82</v>
      </c>
      <c r="BC118" s="5">
        <v>0.79</v>
      </c>
      <c r="BH118" s="5">
        <v>1</v>
      </c>
      <c r="BI118" s="5">
        <v>0.31</v>
      </c>
      <c r="BJ118" s="5">
        <v>0.64</v>
      </c>
      <c r="BK118" s="5" t="str">
        <f t="shared" si="18"/>
        <v>Number</v>
      </c>
      <c r="BL118" s="5" t="str">
        <f t="shared" si="19"/>
        <v>Number</v>
      </c>
      <c r="BM118" s="5" t="str">
        <f t="shared" si="20"/>
        <v>Diff</v>
      </c>
      <c r="BN118" s="5">
        <v>0.13</v>
      </c>
      <c r="BO118" s="5">
        <v>0.13</v>
      </c>
      <c r="BP118" s="5" t="str">
        <f t="shared" si="21"/>
        <v>Number</v>
      </c>
      <c r="BQ118" s="5" t="str">
        <f t="shared" si="22"/>
        <v>Number</v>
      </c>
      <c r="BR118" s="5" t="str">
        <f t="shared" si="23"/>
        <v/>
      </c>
      <c r="BS118" s="5">
        <v>0.7</v>
      </c>
      <c r="BT118" s="5">
        <v>0.7</v>
      </c>
      <c r="BU118" s="5">
        <v>0.7</v>
      </c>
      <c r="BX118" s="5">
        <v>0.6</v>
      </c>
      <c r="CA118" t="str">
        <f>IF(OR(AV118="Diff",BA118="Diff",BM118="Diff",BR118="Diff"),"Diff","")</f>
        <v>Diff</v>
      </c>
    </row>
    <row r="119" spans="1:79" x14ac:dyDescent="0.25">
      <c r="A119" t="s">
        <v>283</v>
      </c>
      <c r="B119" t="s">
        <v>167</v>
      </c>
      <c r="C119" t="s">
        <v>387</v>
      </c>
      <c r="D119" t="s">
        <v>388</v>
      </c>
      <c r="E119">
        <v>95</v>
      </c>
      <c r="F119">
        <v>95</v>
      </c>
      <c r="G119" t="s">
        <v>390</v>
      </c>
      <c r="H119" t="s">
        <v>384</v>
      </c>
      <c r="I119" t="s">
        <v>414</v>
      </c>
      <c r="J119" t="s">
        <v>392</v>
      </c>
      <c r="K119">
        <v>2000</v>
      </c>
      <c r="L119">
        <v>2500</v>
      </c>
      <c r="M119">
        <v>0</v>
      </c>
      <c r="N119">
        <v>0</v>
      </c>
      <c r="O119">
        <v>0</v>
      </c>
      <c r="P119">
        <v>0</v>
      </c>
      <c r="Q119">
        <v>1</v>
      </c>
      <c r="R119">
        <v>1</v>
      </c>
      <c r="S119">
        <v>1</v>
      </c>
      <c r="T119" s="2">
        <v>1.9</v>
      </c>
      <c r="U119">
        <v>0</v>
      </c>
      <c r="V119">
        <v>0</v>
      </c>
      <c r="W119">
        <v>1</v>
      </c>
      <c r="X119">
        <v>0</v>
      </c>
      <c r="Y119" s="2">
        <v>85</v>
      </c>
      <c r="Z119" s="2">
        <v>85</v>
      </c>
      <c r="AA119">
        <v>0.1</v>
      </c>
      <c r="AB119" s="2" t="s">
        <v>374</v>
      </c>
      <c r="AC119">
        <v>1</v>
      </c>
      <c r="AD119">
        <v>0</v>
      </c>
      <c r="AE119">
        <v>0</v>
      </c>
      <c r="AF119">
        <v>0</v>
      </c>
      <c r="AG119">
        <v>-13</v>
      </c>
      <c r="AH119">
        <v>180</v>
      </c>
      <c r="AI119">
        <v>-10</v>
      </c>
      <c r="AJ119">
        <v>60</v>
      </c>
      <c r="AO119">
        <v>5</v>
      </c>
      <c r="AQ119">
        <v>1</v>
      </c>
      <c r="AR119" s="5">
        <v>0.31900000000000001</v>
      </c>
      <c r="AS119" s="5">
        <v>0.66</v>
      </c>
      <c r="AT119" s="5" t="str">
        <f t="shared" si="12"/>
        <v>Number</v>
      </c>
      <c r="AU119" s="5" t="str">
        <f t="shared" si="13"/>
        <v>Number</v>
      </c>
      <c r="AV119" s="5" t="str">
        <f t="shared" si="14"/>
        <v>Diff</v>
      </c>
      <c r="AW119" s="5">
        <v>1</v>
      </c>
      <c r="AX119" s="5">
        <v>1.5</v>
      </c>
      <c r="AY119" s="5" t="str">
        <f t="shared" si="15"/>
        <v>Number</v>
      </c>
      <c r="AZ119" s="5" t="str">
        <f t="shared" si="16"/>
        <v>Number</v>
      </c>
      <c r="BA119" s="5" t="str">
        <f t="shared" si="17"/>
        <v>Diff</v>
      </c>
      <c r="BB119" s="5">
        <v>0.82</v>
      </c>
      <c r="BC119" s="5">
        <v>0.79</v>
      </c>
      <c r="BH119" s="5">
        <v>1</v>
      </c>
      <c r="BI119" s="5">
        <v>0.31</v>
      </c>
      <c r="BJ119" s="5">
        <v>0.64</v>
      </c>
      <c r="BK119" s="5" t="str">
        <f t="shared" si="18"/>
        <v>Number</v>
      </c>
      <c r="BL119" s="5" t="str">
        <f t="shared" si="19"/>
        <v>Number</v>
      </c>
      <c r="BM119" s="5" t="str">
        <f t="shared" si="20"/>
        <v>Diff</v>
      </c>
      <c r="BN119" s="5">
        <v>0.13</v>
      </c>
      <c r="BO119" s="5">
        <v>0.13</v>
      </c>
      <c r="BP119" s="5" t="str">
        <f t="shared" si="21"/>
        <v>Number</v>
      </c>
      <c r="BQ119" s="5" t="str">
        <f t="shared" si="22"/>
        <v>Number</v>
      </c>
      <c r="BR119" s="5" t="str">
        <f t="shared" si="23"/>
        <v/>
      </c>
      <c r="BS119" s="5">
        <v>0.7</v>
      </c>
      <c r="BT119" s="5">
        <v>0.7</v>
      </c>
      <c r="BU119" s="5">
        <v>0.7</v>
      </c>
      <c r="BX119" s="5">
        <v>0.6</v>
      </c>
      <c r="CA119" t="str">
        <f>IF(OR(AV119="Diff",BA119="Diff",BM119="Diff",BR119="Diff"),"Diff","")</f>
        <v>Diff</v>
      </c>
    </row>
    <row r="120" spans="1:79" hidden="1" x14ac:dyDescent="0.25">
      <c r="A120" t="s">
        <v>284</v>
      </c>
      <c r="B120" t="s">
        <v>167</v>
      </c>
      <c r="C120" t="s">
        <v>387</v>
      </c>
      <c r="D120" t="s">
        <v>388</v>
      </c>
      <c r="E120">
        <v>450</v>
      </c>
      <c r="F120">
        <v>450</v>
      </c>
      <c r="G120" t="s">
        <v>390</v>
      </c>
      <c r="H120" t="s">
        <v>384</v>
      </c>
      <c r="I120" t="s">
        <v>391</v>
      </c>
      <c r="J120" t="s">
        <v>392</v>
      </c>
      <c r="K120" s="2">
        <v>5000</v>
      </c>
      <c r="L120">
        <v>4500</v>
      </c>
      <c r="M120">
        <v>0</v>
      </c>
      <c r="N120">
        <v>0</v>
      </c>
      <c r="O120">
        <v>0</v>
      </c>
      <c r="P120">
        <v>0</v>
      </c>
      <c r="Q120">
        <v>1</v>
      </c>
      <c r="R120">
        <v>1</v>
      </c>
      <c r="S120">
        <v>1</v>
      </c>
      <c r="T120">
        <v>5</v>
      </c>
      <c r="U120">
        <v>0</v>
      </c>
      <c r="V120">
        <v>0</v>
      </c>
      <c r="W120">
        <v>1</v>
      </c>
      <c r="X120">
        <v>1</v>
      </c>
      <c r="Y120">
        <v>40</v>
      </c>
      <c r="Z120">
        <v>25</v>
      </c>
      <c r="AA120">
        <v>0.1</v>
      </c>
      <c r="AB120" s="2" t="s">
        <v>374</v>
      </c>
      <c r="AC120">
        <v>1</v>
      </c>
      <c r="AD120">
        <v>0</v>
      </c>
      <c r="AE120">
        <v>0</v>
      </c>
      <c r="AF120">
        <v>0</v>
      </c>
      <c r="AG120">
        <v>-170</v>
      </c>
      <c r="AH120">
        <v>170</v>
      </c>
      <c r="AI120">
        <v>-1</v>
      </c>
      <c r="AJ120">
        <v>30</v>
      </c>
      <c r="AO120">
        <v>30</v>
      </c>
      <c r="AP120"/>
      <c r="AQ120">
        <v>1</v>
      </c>
      <c r="AT120" s="5" t="str">
        <f t="shared" si="12"/>
        <v>Blank</v>
      </c>
      <c r="AU120" s="5" t="str">
        <f t="shared" si="13"/>
        <v>Blank</v>
      </c>
      <c r="AV120" s="5" t="str">
        <f t="shared" si="14"/>
        <v/>
      </c>
      <c r="AY120" s="5" t="str">
        <f t="shared" si="15"/>
        <v>Blank</v>
      </c>
      <c r="AZ120" s="5" t="str">
        <f t="shared" si="16"/>
        <v>Blank</v>
      </c>
      <c r="BA120" s="5" t="str">
        <f t="shared" si="17"/>
        <v/>
      </c>
      <c r="BB120" s="5">
        <v>1</v>
      </c>
      <c r="BH120" s="5">
        <v>1</v>
      </c>
      <c r="BI120" s="5">
        <v>0.01</v>
      </c>
      <c r="BJ120" s="5">
        <v>0.01</v>
      </c>
      <c r="BK120" s="5" t="str">
        <f t="shared" si="18"/>
        <v>Number</v>
      </c>
      <c r="BL120" s="5" t="str">
        <f t="shared" si="19"/>
        <v>Number</v>
      </c>
      <c r="BM120" s="5" t="str">
        <f t="shared" si="20"/>
        <v/>
      </c>
      <c r="BN120" s="5">
        <v>0.01</v>
      </c>
      <c r="BO120" s="5">
        <v>0.01</v>
      </c>
      <c r="BP120" s="5" t="str">
        <f t="shared" si="21"/>
        <v>Number</v>
      </c>
      <c r="BQ120" s="5" t="str">
        <f t="shared" si="22"/>
        <v>Number</v>
      </c>
      <c r="BR120" s="5" t="str">
        <f t="shared" si="23"/>
        <v/>
      </c>
      <c r="BS120" s="5">
        <v>1</v>
      </c>
      <c r="CA120" t="str">
        <f>IF(OR(AV120="Diff",BA120="Diff",BM120="Diff",BR120="Diff"),"Diff","")</f>
        <v/>
      </c>
    </row>
    <row r="121" spans="1:79" x14ac:dyDescent="0.25">
      <c r="A121" t="s">
        <v>285</v>
      </c>
      <c r="B121" t="s">
        <v>167</v>
      </c>
      <c r="C121" t="s">
        <v>387</v>
      </c>
      <c r="D121" t="s">
        <v>388</v>
      </c>
      <c r="E121">
        <v>300</v>
      </c>
      <c r="F121">
        <v>300</v>
      </c>
      <c r="G121" t="s">
        <v>390</v>
      </c>
      <c r="H121" t="s">
        <v>384</v>
      </c>
      <c r="I121" t="s">
        <v>391</v>
      </c>
      <c r="J121" t="s">
        <v>392</v>
      </c>
      <c r="K121">
        <v>1500</v>
      </c>
      <c r="L121">
        <v>800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1</v>
      </c>
      <c r="S121">
        <v>1</v>
      </c>
      <c r="T121">
        <v>1.6</v>
      </c>
      <c r="U121">
        <v>0</v>
      </c>
      <c r="V121">
        <v>0</v>
      </c>
      <c r="W121">
        <v>1</v>
      </c>
      <c r="X121">
        <v>0</v>
      </c>
      <c r="Y121">
        <v>40</v>
      </c>
      <c r="Z121">
        <v>25</v>
      </c>
      <c r="AA121">
        <v>0.1</v>
      </c>
      <c r="AB121" s="2" t="s">
        <v>374</v>
      </c>
      <c r="AC121">
        <v>1</v>
      </c>
      <c r="AD121">
        <v>0</v>
      </c>
      <c r="AE121">
        <v>0</v>
      </c>
      <c r="AF121">
        <v>0</v>
      </c>
      <c r="AG121">
        <v>-170</v>
      </c>
      <c r="AH121">
        <v>170</v>
      </c>
      <c r="AI121">
        <v>-1</v>
      </c>
      <c r="AJ121">
        <v>30</v>
      </c>
      <c r="AO121">
        <v>30</v>
      </c>
      <c r="AQ121">
        <v>1</v>
      </c>
      <c r="AT121" s="5" t="str">
        <f t="shared" si="12"/>
        <v>Blank</v>
      </c>
      <c r="AU121" s="5" t="str">
        <f t="shared" si="13"/>
        <v>Blank</v>
      </c>
      <c r="AV121" s="5" t="str">
        <f t="shared" si="14"/>
        <v/>
      </c>
      <c r="AY121" s="5" t="str">
        <f t="shared" si="15"/>
        <v>Blank</v>
      </c>
      <c r="AZ121" s="5" t="str">
        <f t="shared" si="16"/>
        <v>Blank</v>
      </c>
      <c r="BA121" s="5" t="str">
        <f t="shared" si="17"/>
        <v/>
      </c>
      <c r="BH121" s="5">
        <v>1</v>
      </c>
      <c r="BI121" s="5">
        <v>2.0000000000000001E-4</v>
      </c>
      <c r="BK121" s="5" t="str">
        <f t="shared" si="18"/>
        <v>Number</v>
      </c>
      <c r="BL121" s="5" t="str">
        <f t="shared" si="19"/>
        <v>Blank</v>
      </c>
      <c r="BM121" s="5" t="str">
        <f t="shared" si="20"/>
        <v>Diff</v>
      </c>
      <c r="BN121" s="5">
        <v>0.35</v>
      </c>
      <c r="BP121" s="5" t="str">
        <f t="shared" si="21"/>
        <v>Number</v>
      </c>
      <c r="BQ121" s="5" t="str">
        <f t="shared" si="22"/>
        <v>Blank</v>
      </c>
      <c r="BR121" s="5" t="str">
        <f t="shared" si="23"/>
        <v>Diff</v>
      </c>
      <c r="CA121" t="str">
        <f>IF(OR(AV121="Diff",BA121="Diff",BM121="Diff",BR121="Diff"),"Diff","")</f>
        <v>Diff</v>
      </c>
    </row>
    <row r="122" spans="1:79" x14ac:dyDescent="0.25">
      <c r="A122" t="s">
        <v>286</v>
      </c>
      <c r="B122" t="s">
        <v>167</v>
      </c>
      <c r="C122" t="s">
        <v>387</v>
      </c>
      <c r="D122" t="s">
        <v>388</v>
      </c>
      <c r="E122">
        <v>100</v>
      </c>
      <c r="F122">
        <v>100</v>
      </c>
      <c r="G122" t="s">
        <v>390</v>
      </c>
      <c r="H122" t="s">
        <v>384</v>
      </c>
      <c r="I122" t="s">
        <v>414</v>
      </c>
      <c r="J122" t="s">
        <v>392</v>
      </c>
      <c r="K122">
        <v>3500</v>
      </c>
      <c r="L122">
        <v>4500</v>
      </c>
      <c r="M122">
        <v>0</v>
      </c>
      <c r="N122">
        <v>0</v>
      </c>
      <c r="O122">
        <v>0</v>
      </c>
      <c r="P122">
        <v>0</v>
      </c>
      <c r="Q122">
        <v>1</v>
      </c>
      <c r="R122">
        <v>1</v>
      </c>
      <c r="S122">
        <v>1</v>
      </c>
      <c r="T122" s="2">
        <v>2</v>
      </c>
      <c r="U122">
        <v>0</v>
      </c>
      <c r="V122">
        <v>0</v>
      </c>
      <c r="W122">
        <v>1</v>
      </c>
      <c r="X122">
        <v>0</v>
      </c>
      <c r="Y122">
        <v>120</v>
      </c>
      <c r="Z122">
        <v>120</v>
      </c>
      <c r="AA122">
        <v>0.1</v>
      </c>
      <c r="AB122" s="2" t="s">
        <v>374</v>
      </c>
      <c r="AC122">
        <v>1</v>
      </c>
      <c r="AD122">
        <v>0</v>
      </c>
      <c r="AE122">
        <v>0</v>
      </c>
      <c r="AF122">
        <v>0</v>
      </c>
      <c r="AG122">
        <v>-125</v>
      </c>
      <c r="AH122">
        <v>125</v>
      </c>
      <c r="AI122">
        <v>-60</v>
      </c>
      <c r="AJ122">
        <v>-2</v>
      </c>
      <c r="AO122">
        <v>5</v>
      </c>
      <c r="AQ122">
        <v>1</v>
      </c>
      <c r="AT122" s="5" t="str">
        <f t="shared" si="12"/>
        <v>Blank</v>
      </c>
      <c r="AU122" s="5" t="str">
        <f t="shared" si="13"/>
        <v>Blank</v>
      </c>
      <c r="AV122" s="5" t="str">
        <f t="shared" si="14"/>
        <v/>
      </c>
      <c r="AY122" s="5" t="str">
        <f t="shared" si="15"/>
        <v>Blank</v>
      </c>
      <c r="AZ122" s="5" t="str">
        <f t="shared" si="16"/>
        <v>Blank</v>
      </c>
      <c r="BA122" s="5" t="str">
        <f t="shared" si="17"/>
        <v/>
      </c>
      <c r="BH122" s="5">
        <v>1</v>
      </c>
      <c r="BI122" s="5">
        <v>0.08</v>
      </c>
      <c r="BJ122" s="5">
        <v>0.1</v>
      </c>
      <c r="BK122" s="5" t="str">
        <f t="shared" si="18"/>
        <v>Number</v>
      </c>
      <c r="BL122" s="5" t="str">
        <f t="shared" si="19"/>
        <v>Number</v>
      </c>
      <c r="BM122" s="5" t="str">
        <f t="shared" si="20"/>
        <v>Diff</v>
      </c>
      <c r="BN122" s="5">
        <v>0.2</v>
      </c>
      <c r="BO122" s="5">
        <v>0.4</v>
      </c>
      <c r="BP122" s="5" t="str">
        <f t="shared" si="21"/>
        <v>Number</v>
      </c>
      <c r="BQ122" s="5" t="str">
        <f t="shared" si="22"/>
        <v>Number</v>
      </c>
      <c r="BR122" s="5" t="str">
        <f t="shared" si="23"/>
        <v>Diff</v>
      </c>
      <c r="CA122" t="str">
        <f>IF(OR(AV122="Diff",BA122="Diff",BM122="Diff",BR122="Diff"),"Diff","")</f>
        <v>Diff</v>
      </c>
    </row>
    <row r="123" spans="1:79" x14ac:dyDescent="0.25">
      <c r="A123" t="s">
        <v>287</v>
      </c>
      <c r="B123" t="s">
        <v>167</v>
      </c>
      <c r="C123" t="s">
        <v>387</v>
      </c>
      <c r="D123" t="s">
        <v>388</v>
      </c>
      <c r="E123">
        <v>10</v>
      </c>
      <c r="F123">
        <v>10</v>
      </c>
      <c r="G123" t="s">
        <v>383</v>
      </c>
      <c r="H123" t="s">
        <v>384</v>
      </c>
      <c r="I123" t="s">
        <v>407</v>
      </c>
      <c r="J123" t="s">
        <v>392</v>
      </c>
      <c r="K123">
        <v>900</v>
      </c>
      <c r="L123">
        <v>600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1</v>
      </c>
      <c r="S123">
        <v>0</v>
      </c>
      <c r="T123">
        <v>1.2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0.1</v>
      </c>
      <c r="AB123" s="2" t="s">
        <v>374</v>
      </c>
      <c r="AC123">
        <v>0</v>
      </c>
      <c r="AD123">
        <v>0</v>
      </c>
      <c r="AE123">
        <v>0</v>
      </c>
      <c r="AF123">
        <v>10</v>
      </c>
      <c r="AG123">
        <v>0</v>
      </c>
      <c r="AH123">
        <v>0</v>
      </c>
      <c r="AI123">
        <v>0</v>
      </c>
      <c r="AJ123">
        <v>0</v>
      </c>
      <c r="AO123">
        <v>5</v>
      </c>
      <c r="AQ123">
        <v>1</v>
      </c>
      <c r="AT123" s="5" t="str">
        <f t="shared" si="12"/>
        <v>Blank</v>
      </c>
      <c r="AU123" s="5" t="str">
        <f t="shared" si="13"/>
        <v>Blank</v>
      </c>
      <c r="AV123" s="5" t="str">
        <f t="shared" si="14"/>
        <v/>
      </c>
      <c r="AY123" s="5" t="str">
        <f t="shared" si="15"/>
        <v>Blank</v>
      </c>
      <c r="AZ123" s="5" t="str">
        <f t="shared" si="16"/>
        <v>Blank</v>
      </c>
      <c r="BA123" s="5" t="str">
        <f t="shared" si="17"/>
        <v/>
      </c>
      <c r="BH123" s="5">
        <v>1</v>
      </c>
      <c r="BI123" s="5">
        <v>0.12</v>
      </c>
      <c r="BK123" s="5" t="str">
        <f t="shared" si="18"/>
        <v>Number</v>
      </c>
      <c r="BL123" s="5" t="str">
        <f t="shared" si="19"/>
        <v>Blank</v>
      </c>
      <c r="BM123" s="5" t="str">
        <f t="shared" si="20"/>
        <v>Diff</v>
      </c>
      <c r="BN123" s="5">
        <v>0.4</v>
      </c>
      <c r="BP123" s="5" t="str">
        <f t="shared" si="21"/>
        <v>Number</v>
      </c>
      <c r="BQ123" s="5" t="str">
        <f t="shared" si="22"/>
        <v>Blank</v>
      </c>
      <c r="BR123" s="5" t="str">
        <f t="shared" si="23"/>
        <v>Diff</v>
      </c>
      <c r="CA123" t="str">
        <f>IF(OR(AV123="Diff",BA123="Diff",BM123="Diff",BR123="Diff"),"Diff","")</f>
        <v>Diff</v>
      </c>
    </row>
    <row r="124" spans="1:79" hidden="1" x14ac:dyDescent="0.25">
      <c r="A124" s="3" t="s">
        <v>372</v>
      </c>
      <c r="B124" t="s">
        <v>167</v>
      </c>
      <c r="C124" t="s">
        <v>387</v>
      </c>
      <c r="D124" t="s">
        <v>388</v>
      </c>
      <c r="E124">
        <v>109</v>
      </c>
      <c r="F124">
        <v>109</v>
      </c>
      <c r="G124" t="s">
        <v>396</v>
      </c>
      <c r="H124" t="s">
        <v>400</v>
      </c>
      <c r="I124" t="s">
        <v>423</v>
      </c>
      <c r="J124" t="s">
        <v>392</v>
      </c>
      <c r="K124">
        <v>0</v>
      </c>
      <c r="L124">
        <v>0</v>
      </c>
      <c r="M124">
        <v>32</v>
      </c>
      <c r="N124">
        <v>2</v>
      </c>
      <c r="O124">
        <v>0</v>
      </c>
      <c r="P124">
        <v>0</v>
      </c>
      <c r="Q124">
        <v>7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0.1</v>
      </c>
      <c r="AB124" t="s">
        <v>374</v>
      </c>
      <c r="AC124">
        <v>1</v>
      </c>
      <c r="AD124">
        <v>0</v>
      </c>
      <c r="AE124">
        <v>0</v>
      </c>
      <c r="AF124">
        <v>180</v>
      </c>
      <c r="AG124">
        <v>0</v>
      </c>
      <c r="AH124">
        <v>0</v>
      </c>
      <c r="AI124">
        <v>0</v>
      </c>
      <c r="AJ124">
        <v>0</v>
      </c>
      <c r="AO124">
        <v>15</v>
      </c>
      <c r="AP124"/>
      <c r="AQ124">
        <v>1</v>
      </c>
      <c r="AT124" s="5" t="str">
        <f t="shared" si="12"/>
        <v>Blank</v>
      </c>
      <c r="AU124" s="5" t="str">
        <f t="shared" si="13"/>
        <v>Blank</v>
      </c>
      <c r="AV124" s="5" t="str">
        <f t="shared" si="14"/>
        <v/>
      </c>
      <c r="AY124" s="5" t="str">
        <f t="shared" si="15"/>
        <v>Blank</v>
      </c>
      <c r="AZ124" s="5" t="str">
        <f t="shared" si="16"/>
        <v>Blank</v>
      </c>
      <c r="BA124" s="5" t="str">
        <f t="shared" si="17"/>
        <v/>
      </c>
      <c r="BB124" s="5">
        <v>1.1000000000000001</v>
      </c>
      <c r="BC124" s="5">
        <v>1.23</v>
      </c>
      <c r="BD124" s="5">
        <v>1.9</v>
      </c>
      <c r="BK124" s="5" t="str">
        <f t="shared" si="18"/>
        <v>Blank</v>
      </c>
      <c r="BL124" s="5" t="str">
        <f t="shared" si="19"/>
        <v>Blank</v>
      </c>
      <c r="BM124" s="5" t="str">
        <f t="shared" si="20"/>
        <v/>
      </c>
      <c r="BP124" s="5" t="str">
        <f t="shared" si="21"/>
        <v>Blank</v>
      </c>
      <c r="BQ124" s="5" t="str">
        <f t="shared" si="22"/>
        <v>Blank</v>
      </c>
      <c r="BR124" s="5" t="str">
        <f t="shared" si="23"/>
        <v/>
      </c>
      <c r="CA124" t="str">
        <f>IF(OR(AV124="Diff",BA124="Diff",BM124="Diff",BR124="Diff"),"Diff","")</f>
        <v/>
      </c>
    </row>
    <row r="125" spans="1:79" hidden="1" x14ac:dyDescent="0.25">
      <c r="A125" s="3" t="s">
        <v>524</v>
      </c>
      <c r="B125" t="s">
        <v>167</v>
      </c>
      <c r="C125" t="s">
        <v>387</v>
      </c>
      <c r="D125" t="s">
        <v>388</v>
      </c>
      <c r="E125">
        <v>164</v>
      </c>
      <c r="F125">
        <v>164</v>
      </c>
      <c r="G125" t="s">
        <v>396</v>
      </c>
      <c r="H125" t="s">
        <v>400</v>
      </c>
      <c r="I125" t="s">
        <v>423</v>
      </c>
      <c r="J125" t="s">
        <v>392</v>
      </c>
      <c r="K125">
        <v>0</v>
      </c>
      <c r="L125">
        <v>0</v>
      </c>
      <c r="M125">
        <v>32</v>
      </c>
      <c r="N125">
        <v>2</v>
      </c>
      <c r="O125">
        <v>0</v>
      </c>
      <c r="P125">
        <v>0</v>
      </c>
      <c r="Q125">
        <v>7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0.1</v>
      </c>
      <c r="AB125" t="s">
        <v>374</v>
      </c>
      <c r="AC125">
        <v>1</v>
      </c>
      <c r="AD125">
        <v>0</v>
      </c>
      <c r="AE125">
        <v>0</v>
      </c>
      <c r="AF125">
        <v>180</v>
      </c>
      <c r="AG125">
        <v>0</v>
      </c>
      <c r="AH125">
        <v>0</v>
      </c>
      <c r="AI125">
        <v>0</v>
      </c>
      <c r="AJ125">
        <v>0</v>
      </c>
      <c r="AO125">
        <v>15</v>
      </c>
      <c r="AP125"/>
      <c r="AQ125">
        <v>1</v>
      </c>
      <c r="AT125" s="5" t="str">
        <f t="shared" si="12"/>
        <v>Blank</v>
      </c>
      <c r="AU125" s="5" t="str">
        <f t="shared" si="13"/>
        <v>Blank</v>
      </c>
      <c r="AV125" s="5" t="str">
        <f t="shared" si="14"/>
        <v/>
      </c>
      <c r="AY125" s="5" t="str">
        <f t="shared" si="15"/>
        <v>Blank</v>
      </c>
      <c r="AZ125" s="5" t="str">
        <f t="shared" si="16"/>
        <v>Blank</v>
      </c>
      <c r="BA125" s="5" t="str">
        <f t="shared" si="17"/>
        <v/>
      </c>
      <c r="BK125" s="5" t="str">
        <f t="shared" si="18"/>
        <v>Blank</v>
      </c>
      <c r="BL125" s="5" t="str">
        <f t="shared" si="19"/>
        <v>Blank</v>
      </c>
      <c r="BM125" s="5" t="str">
        <f t="shared" si="20"/>
        <v/>
      </c>
      <c r="BP125" s="5" t="str">
        <f t="shared" si="21"/>
        <v>Blank</v>
      </c>
      <c r="BQ125" s="5" t="str">
        <f t="shared" si="22"/>
        <v>Blank</v>
      </c>
      <c r="BR125" s="5" t="str">
        <f t="shared" si="23"/>
        <v/>
      </c>
      <c r="CA125" t="str">
        <f>IF(OR(AV125="Diff",BA125="Diff",BM125="Diff",BR125="Diff"),"Diff","")</f>
        <v/>
      </c>
    </row>
    <row r="126" spans="1:79" hidden="1" x14ac:dyDescent="0.25">
      <c r="A126" t="s">
        <v>288</v>
      </c>
      <c r="B126" t="s">
        <v>167</v>
      </c>
      <c r="C126" t="s">
        <v>387</v>
      </c>
      <c r="D126" t="s">
        <v>388</v>
      </c>
      <c r="E126">
        <v>1500</v>
      </c>
      <c r="F126">
        <v>1500</v>
      </c>
      <c r="G126" t="s">
        <v>396</v>
      </c>
      <c r="H126" t="s">
        <v>397</v>
      </c>
      <c r="I126" t="s">
        <v>424</v>
      </c>
      <c r="J126" t="s">
        <v>392</v>
      </c>
      <c r="K126">
        <v>40</v>
      </c>
      <c r="L126">
        <v>1200</v>
      </c>
      <c r="M126">
        <v>0</v>
      </c>
      <c r="N126">
        <v>0</v>
      </c>
      <c r="O126">
        <v>0</v>
      </c>
      <c r="P126">
        <v>2</v>
      </c>
      <c r="Q126">
        <v>1</v>
      </c>
      <c r="R126">
        <v>0</v>
      </c>
      <c r="S126">
        <v>0</v>
      </c>
      <c r="T126">
        <v>7.5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0.1</v>
      </c>
      <c r="AB126" s="2" t="s">
        <v>374</v>
      </c>
      <c r="AC126">
        <v>0</v>
      </c>
      <c r="AD126">
        <v>0</v>
      </c>
      <c r="AE126">
        <v>0</v>
      </c>
      <c r="AF126">
        <v>179</v>
      </c>
      <c r="AG126">
        <v>0</v>
      </c>
      <c r="AH126">
        <v>0</v>
      </c>
      <c r="AI126">
        <v>0</v>
      </c>
      <c r="AJ126">
        <v>0</v>
      </c>
      <c r="AO126">
        <v>5</v>
      </c>
      <c r="AP126"/>
      <c r="AQ126">
        <v>1</v>
      </c>
      <c r="AT126" s="5" t="str">
        <f t="shared" si="12"/>
        <v>Blank</v>
      </c>
      <c r="AU126" s="5" t="str">
        <f t="shared" si="13"/>
        <v>Blank</v>
      </c>
      <c r="AV126" s="5" t="str">
        <f t="shared" si="14"/>
        <v/>
      </c>
      <c r="AY126" s="5" t="str">
        <f t="shared" si="15"/>
        <v>Blank</v>
      </c>
      <c r="AZ126" s="5" t="str">
        <f t="shared" si="16"/>
        <v>Blank</v>
      </c>
      <c r="BA126" s="5" t="str">
        <f t="shared" si="17"/>
        <v/>
      </c>
      <c r="BH126" s="5">
        <v>1</v>
      </c>
      <c r="BK126" s="5" t="str">
        <f t="shared" si="18"/>
        <v>Blank</v>
      </c>
      <c r="BL126" s="5" t="str">
        <f t="shared" si="19"/>
        <v>Blank</v>
      </c>
      <c r="BM126" s="5" t="str">
        <f t="shared" si="20"/>
        <v/>
      </c>
      <c r="BP126" s="5" t="str">
        <f t="shared" si="21"/>
        <v>Blank</v>
      </c>
      <c r="BQ126" s="5" t="str">
        <f t="shared" si="22"/>
        <v>Blank</v>
      </c>
      <c r="BR126" s="5" t="str">
        <f t="shared" si="23"/>
        <v/>
      </c>
      <c r="CA126" t="str">
        <f>IF(OR(AV126="Diff",BA126="Diff",BM126="Diff",BR126="Diff"),"Diff","")</f>
        <v/>
      </c>
    </row>
    <row r="127" spans="1:79" hidden="1" x14ac:dyDescent="0.25">
      <c r="A127" t="s">
        <v>289</v>
      </c>
      <c r="B127" t="s">
        <v>167</v>
      </c>
      <c r="C127" t="s">
        <v>387</v>
      </c>
      <c r="D127" t="s">
        <v>388</v>
      </c>
      <c r="E127">
        <v>90</v>
      </c>
      <c r="F127">
        <v>90</v>
      </c>
      <c r="G127" t="s">
        <v>396</v>
      </c>
      <c r="H127" t="s">
        <v>397</v>
      </c>
      <c r="I127" t="s">
        <v>423</v>
      </c>
      <c r="J127" t="s">
        <v>392</v>
      </c>
      <c r="K127">
        <v>40</v>
      </c>
      <c r="L127">
        <v>2000</v>
      </c>
      <c r="M127">
        <v>0</v>
      </c>
      <c r="N127">
        <v>0</v>
      </c>
      <c r="O127">
        <v>0</v>
      </c>
      <c r="P127">
        <v>2</v>
      </c>
      <c r="Q127">
        <v>1</v>
      </c>
      <c r="R127">
        <v>0</v>
      </c>
      <c r="S127">
        <v>0</v>
      </c>
      <c r="T127">
        <v>7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0.1</v>
      </c>
      <c r="AB127" s="2" t="s">
        <v>374</v>
      </c>
      <c r="AC127">
        <v>0</v>
      </c>
      <c r="AD127">
        <v>0</v>
      </c>
      <c r="AE127">
        <v>0</v>
      </c>
      <c r="AF127">
        <v>180</v>
      </c>
      <c r="AG127">
        <v>0</v>
      </c>
      <c r="AH127">
        <v>0</v>
      </c>
      <c r="AI127">
        <v>0</v>
      </c>
      <c r="AJ127">
        <v>0</v>
      </c>
      <c r="AO127">
        <v>5</v>
      </c>
      <c r="AP127"/>
      <c r="AQ127">
        <v>1</v>
      </c>
      <c r="AT127" s="5" t="str">
        <f t="shared" si="12"/>
        <v>Blank</v>
      </c>
      <c r="AU127" s="5" t="str">
        <f t="shared" si="13"/>
        <v>Blank</v>
      </c>
      <c r="AV127" s="5" t="str">
        <f t="shared" si="14"/>
        <v/>
      </c>
      <c r="AY127" s="5" t="str">
        <f t="shared" si="15"/>
        <v>Blank</v>
      </c>
      <c r="AZ127" s="5" t="str">
        <f t="shared" si="16"/>
        <v>Blank</v>
      </c>
      <c r="BA127" s="5" t="str">
        <f t="shared" si="17"/>
        <v/>
      </c>
      <c r="BH127" s="5">
        <v>1</v>
      </c>
      <c r="BK127" s="5" t="str">
        <f t="shared" si="18"/>
        <v>Blank</v>
      </c>
      <c r="BL127" s="5" t="str">
        <f t="shared" si="19"/>
        <v>Blank</v>
      </c>
      <c r="BM127" s="5" t="str">
        <f t="shared" si="20"/>
        <v/>
      </c>
      <c r="BP127" s="5" t="str">
        <f t="shared" si="21"/>
        <v>Blank</v>
      </c>
      <c r="BQ127" s="5" t="str">
        <f t="shared" si="22"/>
        <v>Blank</v>
      </c>
      <c r="BR127" s="5" t="str">
        <f t="shared" si="23"/>
        <v/>
      </c>
      <c r="CA127" t="str">
        <f>IF(OR(AV127="Diff",BA127="Diff",BM127="Diff",BR127="Diff"),"Diff","")</f>
        <v/>
      </c>
    </row>
    <row r="128" spans="1:79" x14ac:dyDescent="0.25">
      <c r="A128" t="s">
        <v>290</v>
      </c>
      <c r="B128" t="s">
        <v>167</v>
      </c>
      <c r="C128" t="s">
        <v>387</v>
      </c>
      <c r="D128" t="s">
        <v>388</v>
      </c>
      <c r="E128">
        <v>10</v>
      </c>
      <c r="F128">
        <v>10</v>
      </c>
      <c r="G128" t="s">
        <v>383</v>
      </c>
      <c r="H128" t="s">
        <v>384</v>
      </c>
      <c r="I128" t="s">
        <v>407</v>
      </c>
      <c r="J128" t="s">
        <v>392</v>
      </c>
      <c r="K128">
        <v>900</v>
      </c>
      <c r="L128">
        <v>400</v>
      </c>
      <c r="M128">
        <v>0</v>
      </c>
      <c r="N128">
        <v>0</v>
      </c>
      <c r="O128">
        <v>0</v>
      </c>
      <c r="P128">
        <v>0</v>
      </c>
      <c r="Q128">
        <v>1</v>
      </c>
      <c r="R128">
        <v>1</v>
      </c>
      <c r="S128">
        <v>0</v>
      </c>
      <c r="T128">
        <v>0.6</v>
      </c>
      <c r="U128">
        <v>1.3</v>
      </c>
      <c r="V128">
        <v>1.8</v>
      </c>
      <c r="W128">
        <v>0</v>
      </c>
      <c r="X128">
        <v>0</v>
      </c>
      <c r="Y128">
        <v>0</v>
      </c>
      <c r="Z128">
        <v>0</v>
      </c>
      <c r="AA128">
        <v>0.1</v>
      </c>
      <c r="AB128" s="2" t="s">
        <v>374</v>
      </c>
      <c r="AC128">
        <v>0</v>
      </c>
      <c r="AD128">
        <v>0</v>
      </c>
      <c r="AE128">
        <v>0</v>
      </c>
      <c r="AO128">
        <v>5</v>
      </c>
      <c r="AQ128">
        <v>1</v>
      </c>
      <c r="AT128" s="5" t="str">
        <f t="shared" si="12"/>
        <v>Blank</v>
      </c>
      <c r="AU128" s="5" t="str">
        <f t="shared" si="13"/>
        <v>Blank</v>
      </c>
      <c r="AV128" s="5" t="str">
        <f t="shared" si="14"/>
        <v/>
      </c>
      <c r="AY128" s="5" t="str">
        <f t="shared" si="15"/>
        <v>Blank</v>
      </c>
      <c r="AZ128" s="5" t="str">
        <f t="shared" si="16"/>
        <v>Blank</v>
      </c>
      <c r="BA128" s="5" t="str">
        <f t="shared" si="17"/>
        <v/>
      </c>
      <c r="BH128" s="5">
        <v>1</v>
      </c>
      <c r="BI128" s="5">
        <v>0.04</v>
      </c>
      <c r="BK128" s="5" t="str">
        <f t="shared" si="18"/>
        <v>Number</v>
      </c>
      <c r="BL128" s="5" t="str">
        <f t="shared" si="19"/>
        <v>Blank</v>
      </c>
      <c r="BM128" s="5" t="str">
        <f t="shared" si="20"/>
        <v>Diff</v>
      </c>
      <c r="BN128" s="5">
        <v>0.15</v>
      </c>
      <c r="BP128" s="5" t="str">
        <f t="shared" si="21"/>
        <v>Number</v>
      </c>
      <c r="BQ128" s="5" t="str">
        <f t="shared" si="22"/>
        <v>Blank</v>
      </c>
      <c r="BR128" s="5" t="str">
        <f t="shared" si="23"/>
        <v>Diff</v>
      </c>
      <c r="CA128" t="str">
        <f>IF(OR(AV128="Diff",BA128="Diff",BM128="Diff",BR128="Diff"),"Diff","")</f>
        <v>Diff</v>
      </c>
    </row>
    <row r="129" spans="1:79" hidden="1" x14ac:dyDescent="0.25">
      <c r="A129" t="s">
        <v>291</v>
      </c>
      <c r="B129" t="s">
        <v>167</v>
      </c>
      <c r="C129" t="s">
        <v>387</v>
      </c>
      <c r="D129" t="s">
        <v>388</v>
      </c>
      <c r="E129">
        <v>2700</v>
      </c>
      <c r="F129">
        <v>2700</v>
      </c>
      <c r="G129" t="s">
        <v>396</v>
      </c>
      <c r="H129" t="s">
        <v>397</v>
      </c>
      <c r="I129" t="s">
        <v>424</v>
      </c>
      <c r="J129" t="s">
        <v>392</v>
      </c>
      <c r="K129">
        <v>40</v>
      </c>
      <c r="L129" s="2">
        <v>4000</v>
      </c>
      <c r="M129">
        <v>0</v>
      </c>
      <c r="N129">
        <v>0</v>
      </c>
      <c r="O129">
        <v>0</v>
      </c>
      <c r="P129">
        <v>2</v>
      </c>
      <c r="Q129">
        <v>1</v>
      </c>
      <c r="R129">
        <v>0</v>
      </c>
      <c r="S129">
        <v>1</v>
      </c>
      <c r="T129">
        <v>16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0.1</v>
      </c>
      <c r="AB129" s="2" t="s">
        <v>374</v>
      </c>
      <c r="AC129">
        <v>0</v>
      </c>
      <c r="AD129">
        <v>1</v>
      </c>
      <c r="AE129">
        <v>0</v>
      </c>
      <c r="AF129">
        <v>180</v>
      </c>
      <c r="AG129">
        <v>0</v>
      </c>
      <c r="AH129">
        <v>0</v>
      </c>
      <c r="AI129">
        <v>0</v>
      </c>
      <c r="AJ129">
        <v>0</v>
      </c>
      <c r="AO129">
        <v>30</v>
      </c>
      <c r="AP129"/>
      <c r="AQ129">
        <v>1</v>
      </c>
      <c r="AT129" s="5" t="str">
        <f t="shared" si="12"/>
        <v>Blank</v>
      </c>
      <c r="AU129" s="5" t="str">
        <f t="shared" si="13"/>
        <v>Blank</v>
      </c>
      <c r="AV129" s="5" t="str">
        <f t="shared" si="14"/>
        <v/>
      </c>
      <c r="AY129" s="5" t="str">
        <f t="shared" si="15"/>
        <v>Blank</v>
      </c>
      <c r="AZ129" s="5" t="str">
        <f t="shared" si="16"/>
        <v>Blank</v>
      </c>
      <c r="BA129" s="5" t="str">
        <f t="shared" si="17"/>
        <v/>
      </c>
      <c r="BB129" s="5">
        <v>1</v>
      </c>
      <c r="BF129" s="5">
        <v>0.2</v>
      </c>
      <c r="BH129" s="5">
        <v>1</v>
      </c>
      <c r="BI129" s="5">
        <v>0</v>
      </c>
      <c r="BJ129" s="5">
        <v>0</v>
      </c>
      <c r="BK129" s="5" t="str">
        <f t="shared" si="18"/>
        <v>Zero</v>
      </c>
      <c r="BL129" s="5" t="str">
        <f t="shared" si="19"/>
        <v>Zero</v>
      </c>
      <c r="BM129" s="5" t="str">
        <f t="shared" si="20"/>
        <v/>
      </c>
      <c r="BN129" s="5">
        <v>0</v>
      </c>
      <c r="BO129" s="5">
        <v>0</v>
      </c>
      <c r="BP129" s="5" t="str">
        <f t="shared" si="21"/>
        <v>Zero</v>
      </c>
      <c r="BQ129" s="5" t="str">
        <f t="shared" si="22"/>
        <v>Zero</v>
      </c>
      <c r="BR129" s="5" t="str">
        <f t="shared" si="23"/>
        <v/>
      </c>
      <c r="CA129" t="str">
        <f>IF(OR(AV129="Diff",BA129="Diff",BM129="Diff",BR129="Diff"),"Diff","")</f>
        <v/>
      </c>
    </row>
    <row r="130" spans="1:79" hidden="1" x14ac:dyDescent="0.25">
      <c r="A130" t="s">
        <v>292</v>
      </c>
      <c r="B130" t="s">
        <v>167</v>
      </c>
      <c r="C130" t="s">
        <v>387</v>
      </c>
      <c r="D130" t="s">
        <v>388</v>
      </c>
      <c r="E130">
        <v>5000</v>
      </c>
      <c r="F130">
        <v>5000</v>
      </c>
      <c r="G130" t="s">
        <v>396</v>
      </c>
      <c r="H130" t="s">
        <v>397</v>
      </c>
      <c r="I130" t="s">
        <v>424</v>
      </c>
      <c r="J130" t="s">
        <v>392</v>
      </c>
      <c r="K130">
        <v>40</v>
      </c>
      <c r="L130">
        <v>6000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0</v>
      </c>
      <c r="S130">
        <v>1</v>
      </c>
      <c r="T130" s="2">
        <v>25</v>
      </c>
      <c r="U130">
        <v>0</v>
      </c>
      <c r="V130">
        <v>0</v>
      </c>
      <c r="W130">
        <v>1</v>
      </c>
      <c r="X130">
        <v>1</v>
      </c>
      <c r="Y130">
        <v>0</v>
      </c>
      <c r="Z130">
        <v>0</v>
      </c>
      <c r="AA130">
        <v>0.1</v>
      </c>
      <c r="AB130" s="2" t="s">
        <v>374</v>
      </c>
      <c r="AC130">
        <v>0</v>
      </c>
      <c r="AD130">
        <v>0</v>
      </c>
      <c r="AE130">
        <v>0</v>
      </c>
      <c r="AF130">
        <v>180</v>
      </c>
      <c r="AG130">
        <v>0</v>
      </c>
      <c r="AH130">
        <v>0</v>
      </c>
      <c r="AI130">
        <v>0</v>
      </c>
      <c r="AJ130">
        <v>0</v>
      </c>
      <c r="AO130">
        <v>50</v>
      </c>
      <c r="AP130"/>
      <c r="AQ130">
        <v>1</v>
      </c>
      <c r="AT130" s="5" t="str">
        <f t="shared" si="12"/>
        <v>Blank</v>
      </c>
      <c r="AU130" s="5" t="str">
        <f t="shared" si="13"/>
        <v>Blank</v>
      </c>
      <c r="AV130" s="5" t="str">
        <f t="shared" si="14"/>
        <v/>
      </c>
      <c r="AY130" s="5" t="str">
        <f t="shared" si="15"/>
        <v>Blank</v>
      </c>
      <c r="AZ130" s="5" t="str">
        <f t="shared" si="16"/>
        <v>Blank</v>
      </c>
      <c r="BA130" s="5" t="str">
        <f t="shared" si="17"/>
        <v/>
      </c>
      <c r="BB130" s="5">
        <v>0.59</v>
      </c>
      <c r="BC130" s="5">
        <v>1.26</v>
      </c>
      <c r="BF130" s="5">
        <v>0.3</v>
      </c>
      <c r="BH130" s="5">
        <v>1</v>
      </c>
      <c r="BI130" s="5">
        <v>0</v>
      </c>
      <c r="BJ130" s="5">
        <v>0</v>
      </c>
      <c r="BK130" s="5" t="str">
        <f t="shared" si="18"/>
        <v>Zero</v>
      </c>
      <c r="BL130" s="5" t="str">
        <f t="shared" si="19"/>
        <v>Zero</v>
      </c>
      <c r="BM130" s="5" t="str">
        <f t="shared" si="20"/>
        <v/>
      </c>
      <c r="BN130" s="5">
        <v>0</v>
      </c>
      <c r="BO130" s="5">
        <v>0</v>
      </c>
      <c r="BP130" s="5" t="str">
        <f t="shared" si="21"/>
        <v>Zero</v>
      </c>
      <c r="BQ130" s="5" t="str">
        <f t="shared" si="22"/>
        <v>Zero</v>
      </c>
      <c r="BR130" s="5" t="str">
        <f t="shared" si="23"/>
        <v/>
      </c>
      <c r="CA130" t="str">
        <f>IF(OR(AV130="Diff",BA130="Diff",BM130="Diff",BR130="Diff"),"Diff","")</f>
        <v/>
      </c>
    </row>
    <row r="131" spans="1:79" hidden="1" x14ac:dyDescent="0.25">
      <c r="A131" t="s">
        <v>293</v>
      </c>
      <c r="B131" t="s">
        <v>167</v>
      </c>
      <c r="C131" t="s">
        <v>387</v>
      </c>
      <c r="D131" t="s">
        <v>388</v>
      </c>
      <c r="E131" s="2">
        <v>1000</v>
      </c>
      <c r="F131" s="2">
        <v>1000</v>
      </c>
      <c r="G131" t="s">
        <v>396</v>
      </c>
      <c r="H131" t="s">
        <v>397</v>
      </c>
      <c r="I131" t="s">
        <v>424</v>
      </c>
      <c r="J131" t="s">
        <v>392</v>
      </c>
      <c r="K131">
        <v>40</v>
      </c>
      <c r="L131">
        <v>6000</v>
      </c>
      <c r="M131">
        <v>0</v>
      </c>
      <c r="N131">
        <v>0</v>
      </c>
      <c r="O131">
        <v>0</v>
      </c>
      <c r="P131">
        <v>0</v>
      </c>
      <c r="Q131">
        <v>1</v>
      </c>
      <c r="R131">
        <v>0</v>
      </c>
      <c r="S131">
        <v>1</v>
      </c>
      <c r="T131" s="2">
        <v>11</v>
      </c>
      <c r="U131">
        <v>0</v>
      </c>
      <c r="V131">
        <v>0</v>
      </c>
      <c r="W131">
        <v>1</v>
      </c>
      <c r="X131">
        <v>0</v>
      </c>
      <c r="Y131">
        <v>0</v>
      </c>
      <c r="Z131">
        <v>0</v>
      </c>
      <c r="AA131">
        <v>0.1</v>
      </c>
      <c r="AB131" s="2" t="s">
        <v>374</v>
      </c>
      <c r="AC131">
        <v>0</v>
      </c>
      <c r="AD131">
        <v>1</v>
      </c>
      <c r="AE131">
        <v>0</v>
      </c>
      <c r="AF131">
        <v>180</v>
      </c>
      <c r="AG131">
        <v>0</v>
      </c>
      <c r="AH131">
        <v>0</v>
      </c>
      <c r="AI131">
        <v>0</v>
      </c>
      <c r="AJ131">
        <v>0</v>
      </c>
      <c r="AO131">
        <v>30</v>
      </c>
      <c r="AP131"/>
      <c r="AQ131">
        <v>1</v>
      </c>
      <c r="AT131" s="5" t="str">
        <f t="shared" ref="AT131:AT150" si="24">IF(ISBLANK(AR131)=TRUE,"Blank",IF(AR131="","Empty
String",IF(AR131=0,"Zero","Number")))</f>
        <v>Blank</v>
      </c>
      <c r="AU131" s="5" t="str">
        <f t="shared" ref="AU131:AU150" si="25">IF(ISBLANK(AS131)=TRUE,"Blank",IF(AS131="","Empty
String",IF(AS131=0,"Zero","Number")))</f>
        <v>Blank</v>
      </c>
      <c r="AV131" s="5" t="str">
        <f t="shared" ref="AV131:AV150" si="26">IF(AND(AT131=AU131,AR131=AS131),"","Diff")</f>
        <v/>
      </c>
      <c r="AY131" s="5" t="str">
        <f t="shared" ref="AY131:AY150" si="27">IF(ISBLANK(AW131)=TRUE,"Blank",IF(AW131="","Empty
String",IF(AW131=0,"Zero","Number")))</f>
        <v>Blank</v>
      </c>
      <c r="AZ131" s="5" t="str">
        <f t="shared" ref="AZ131:AZ150" si="28">IF(ISBLANK(AX131)=TRUE,"Blank",IF(AX131="","Empty
String",IF(AX131=0,"Zero","Number")))</f>
        <v>Blank</v>
      </c>
      <c r="BA131" s="5" t="str">
        <f t="shared" ref="BA131:BA150" si="29">IF(AND(AY131=AZ131,AW131=AX131),"","Diff")</f>
        <v/>
      </c>
      <c r="BE131" s="5">
        <v>0.5</v>
      </c>
      <c r="BH131" s="5">
        <v>1</v>
      </c>
      <c r="BI131" s="5">
        <v>0</v>
      </c>
      <c r="BJ131" s="5">
        <v>0</v>
      </c>
      <c r="BK131" s="5" t="str">
        <f t="shared" ref="BK131:BK150" si="30">IF(ISBLANK(BI131)=TRUE,"Blank",IF(BI131="","Empty
String",IF(BI131=0,"Zero","Number")))</f>
        <v>Zero</v>
      </c>
      <c r="BL131" s="5" t="str">
        <f t="shared" ref="BL131:BL150" si="31">IF(ISBLANK(BJ131)=TRUE,"Blank",IF(BJ131="","Empty
String",IF(BJ131=0,"Zero","Number")))</f>
        <v>Zero</v>
      </c>
      <c r="BM131" s="5" t="str">
        <f t="shared" ref="BM131:BM150" si="32">IF(AND(BK131=BL131,BI131=BJ131),"","Diff")</f>
        <v/>
      </c>
      <c r="BN131" s="5">
        <v>0</v>
      </c>
      <c r="BO131" s="5">
        <v>0</v>
      </c>
      <c r="BP131" s="5" t="str">
        <f t="shared" ref="BP131:BP150" si="33">IF(ISBLANK(BN131)=TRUE,"Blank",IF(BN131="","Empty
String",IF(BN131=0,"Zero","Number")))</f>
        <v>Zero</v>
      </c>
      <c r="BQ131" s="5" t="str">
        <f t="shared" ref="BQ131:BQ150" si="34">IF(ISBLANK(BO131)=TRUE,"Blank",IF(BO131="","Empty
String",IF(BO131=0,"Zero","Number")))</f>
        <v>Zero</v>
      </c>
      <c r="BR131" s="5" t="str">
        <f t="shared" ref="BR131:BR150" si="35">IF(AND(BP131=BQ131,BN131=BO131),"","Diff")</f>
        <v/>
      </c>
      <c r="CA131" t="str">
        <f>IF(OR(AV131="Diff",BA131="Diff",BM131="Diff",BR131="Diff"),"Diff","")</f>
        <v/>
      </c>
    </row>
    <row r="132" spans="1:79" hidden="1" x14ac:dyDescent="0.25">
      <c r="A132" t="s">
        <v>294</v>
      </c>
      <c r="B132" t="s">
        <v>167</v>
      </c>
      <c r="C132" t="s">
        <v>387</v>
      </c>
      <c r="D132" t="s">
        <v>388</v>
      </c>
      <c r="E132">
        <v>2700</v>
      </c>
      <c r="F132">
        <v>2700</v>
      </c>
      <c r="G132" t="s">
        <v>396</v>
      </c>
      <c r="H132" t="s">
        <v>397</v>
      </c>
      <c r="I132" t="s">
        <v>424</v>
      </c>
      <c r="J132" t="s">
        <v>392</v>
      </c>
      <c r="K132">
        <v>40</v>
      </c>
      <c r="L132">
        <v>4500</v>
      </c>
      <c r="M132">
        <v>0</v>
      </c>
      <c r="N132">
        <v>0</v>
      </c>
      <c r="O132">
        <v>0</v>
      </c>
      <c r="P132">
        <v>0</v>
      </c>
      <c r="Q132">
        <v>1</v>
      </c>
      <c r="R132">
        <v>0</v>
      </c>
      <c r="S132">
        <v>0</v>
      </c>
      <c r="T132">
        <v>20</v>
      </c>
      <c r="U132">
        <v>0</v>
      </c>
      <c r="V132">
        <v>0</v>
      </c>
      <c r="W132">
        <v>1</v>
      </c>
      <c r="X132">
        <v>1</v>
      </c>
      <c r="Y132">
        <v>0</v>
      </c>
      <c r="Z132">
        <v>0</v>
      </c>
      <c r="AA132">
        <v>0.1</v>
      </c>
      <c r="AB132" s="2" t="s">
        <v>374</v>
      </c>
      <c r="AC132">
        <v>0</v>
      </c>
      <c r="AD132">
        <v>0</v>
      </c>
      <c r="AE132">
        <v>0</v>
      </c>
      <c r="AF132">
        <v>180</v>
      </c>
      <c r="AG132">
        <v>0</v>
      </c>
      <c r="AH132">
        <v>0</v>
      </c>
      <c r="AI132">
        <v>0</v>
      </c>
      <c r="AJ132">
        <v>0</v>
      </c>
      <c r="AO132">
        <v>5</v>
      </c>
      <c r="AP132"/>
      <c r="AQ132">
        <v>1</v>
      </c>
      <c r="AT132" s="5" t="str">
        <f t="shared" si="24"/>
        <v>Blank</v>
      </c>
      <c r="AU132" s="5" t="str">
        <f t="shared" si="25"/>
        <v>Blank</v>
      </c>
      <c r="AV132" s="5" t="str">
        <f t="shared" si="26"/>
        <v/>
      </c>
      <c r="AY132" s="5" t="str">
        <f t="shared" si="27"/>
        <v>Blank</v>
      </c>
      <c r="AZ132" s="5" t="str">
        <f t="shared" si="28"/>
        <v>Blank</v>
      </c>
      <c r="BA132" s="5" t="str">
        <f t="shared" si="29"/>
        <v/>
      </c>
      <c r="BB132" s="5">
        <v>1</v>
      </c>
      <c r="BF132" s="5">
        <v>0.2</v>
      </c>
      <c r="BH132" s="5">
        <v>1</v>
      </c>
      <c r="BI132" s="5">
        <v>0</v>
      </c>
      <c r="BJ132" s="5">
        <v>0</v>
      </c>
      <c r="BK132" s="5" t="str">
        <f t="shared" si="30"/>
        <v>Zero</v>
      </c>
      <c r="BL132" s="5" t="str">
        <f t="shared" si="31"/>
        <v>Zero</v>
      </c>
      <c r="BM132" s="5" t="str">
        <f t="shared" si="32"/>
        <v/>
      </c>
      <c r="BN132" s="5">
        <v>0</v>
      </c>
      <c r="BO132" s="5">
        <v>0</v>
      </c>
      <c r="BP132" s="5" t="str">
        <f t="shared" si="33"/>
        <v>Zero</v>
      </c>
      <c r="BQ132" s="5" t="str">
        <f t="shared" si="34"/>
        <v>Zero</v>
      </c>
      <c r="BR132" s="5" t="str">
        <f t="shared" si="35"/>
        <v/>
      </c>
      <c r="CA132" t="str">
        <f>IF(OR(AV132="Diff",BA132="Diff",BM132="Diff",BR132="Diff"),"Diff","")</f>
        <v/>
      </c>
    </row>
    <row r="133" spans="1:79" hidden="1" x14ac:dyDescent="0.25">
      <c r="A133" t="s">
        <v>295</v>
      </c>
      <c r="B133" t="s">
        <v>167</v>
      </c>
      <c r="C133" t="s">
        <v>387</v>
      </c>
      <c r="D133" t="s">
        <v>388</v>
      </c>
      <c r="E133">
        <v>4500</v>
      </c>
      <c r="F133">
        <v>4500</v>
      </c>
      <c r="G133" t="s">
        <v>383</v>
      </c>
      <c r="H133" t="s">
        <v>393</v>
      </c>
      <c r="I133" t="s">
        <v>422</v>
      </c>
      <c r="J133" t="s">
        <v>392</v>
      </c>
      <c r="K133">
        <v>0</v>
      </c>
      <c r="L133">
        <v>1400</v>
      </c>
      <c r="M133">
        <v>0</v>
      </c>
      <c r="N133">
        <v>3</v>
      </c>
      <c r="O133">
        <v>0</v>
      </c>
      <c r="P133">
        <v>0</v>
      </c>
      <c r="Q133">
        <v>10</v>
      </c>
      <c r="R133">
        <v>0</v>
      </c>
      <c r="S133">
        <v>1</v>
      </c>
      <c r="T133">
        <v>5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0.1</v>
      </c>
      <c r="AB133" s="2" t="s">
        <v>374</v>
      </c>
      <c r="AC133">
        <v>0</v>
      </c>
      <c r="AD133">
        <v>0</v>
      </c>
      <c r="AE133">
        <v>300</v>
      </c>
      <c r="AO133">
        <v>5</v>
      </c>
      <c r="AP133"/>
      <c r="AQ133">
        <v>1</v>
      </c>
      <c r="AT133" s="5" t="str">
        <f t="shared" si="24"/>
        <v>Blank</v>
      </c>
      <c r="AU133" s="5" t="str">
        <f t="shared" si="25"/>
        <v>Blank</v>
      </c>
      <c r="AV133" s="5" t="str">
        <f t="shared" si="26"/>
        <v/>
      </c>
      <c r="AY133" s="5" t="str">
        <f t="shared" si="27"/>
        <v>Blank</v>
      </c>
      <c r="AZ133" s="5" t="str">
        <f t="shared" si="28"/>
        <v>Blank</v>
      </c>
      <c r="BA133" s="5" t="str">
        <f t="shared" si="29"/>
        <v/>
      </c>
      <c r="BH133" s="5">
        <v>1</v>
      </c>
      <c r="BK133" s="5" t="str">
        <f t="shared" si="30"/>
        <v>Blank</v>
      </c>
      <c r="BL133" s="5" t="str">
        <f t="shared" si="31"/>
        <v>Blank</v>
      </c>
      <c r="BM133" s="5" t="str">
        <f t="shared" si="32"/>
        <v/>
      </c>
      <c r="BP133" s="5" t="str">
        <f t="shared" si="33"/>
        <v>Blank</v>
      </c>
      <c r="BQ133" s="5" t="str">
        <f t="shared" si="34"/>
        <v>Blank</v>
      </c>
      <c r="BR133" s="5" t="str">
        <f t="shared" si="35"/>
        <v/>
      </c>
      <c r="CA133" t="str">
        <f>IF(OR(AV133="Diff",BA133="Diff",BM133="Diff",BR133="Diff"),"Diff","")</f>
        <v/>
      </c>
    </row>
    <row r="134" spans="1:79" x14ac:dyDescent="0.25">
      <c r="A134" t="s">
        <v>296</v>
      </c>
      <c r="B134" t="s">
        <v>167</v>
      </c>
      <c r="C134" t="s">
        <v>387</v>
      </c>
      <c r="D134" t="s">
        <v>388</v>
      </c>
      <c r="E134" s="2">
        <v>5</v>
      </c>
      <c r="F134" s="2">
        <v>8</v>
      </c>
      <c r="G134" t="s">
        <v>383</v>
      </c>
      <c r="H134" t="s">
        <v>384</v>
      </c>
      <c r="I134" s="2" t="s">
        <v>414</v>
      </c>
      <c r="J134" t="s">
        <v>392</v>
      </c>
      <c r="K134" s="2">
        <v>1500</v>
      </c>
      <c r="L134">
        <v>2200</v>
      </c>
      <c r="M134">
        <v>0</v>
      </c>
      <c r="N134">
        <v>0</v>
      </c>
      <c r="O134">
        <v>0</v>
      </c>
      <c r="P134">
        <v>0</v>
      </c>
      <c r="Q134">
        <v>1</v>
      </c>
      <c r="R134">
        <v>1</v>
      </c>
      <c r="S134">
        <v>0</v>
      </c>
      <c r="T134" s="2">
        <v>0.3</v>
      </c>
      <c r="U134" s="2">
        <v>2</v>
      </c>
      <c r="V134" s="2">
        <v>2</v>
      </c>
      <c r="W134" s="2">
        <v>0</v>
      </c>
      <c r="X134">
        <v>0</v>
      </c>
      <c r="Y134" s="2">
        <v>0</v>
      </c>
      <c r="Z134" s="2">
        <v>0</v>
      </c>
      <c r="AA134">
        <v>0.1</v>
      </c>
      <c r="AB134" s="2" t="s">
        <v>374</v>
      </c>
      <c r="AC134">
        <v>0</v>
      </c>
      <c r="AD134">
        <v>0</v>
      </c>
      <c r="AE134">
        <v>0</v>
      </c>
      <c r="AF134" s="2">
        <v>90</v>
      </c>
      <c r="AG134">
        <v>0</v>
      </c>
      <c r="AH134">
        <v>0</v>
      </c>
      <c r="AI134">
        <v>0</v>
      </c>
      <c r="AJ134">
        <v>0</v>
      </c>
      <c r="AO134">
        <v>5</v>
      </c>
      <c r="AQ134">
        <v>1</v>
      </c>
      <c r="AR134" s="5">
        <v>1</v>
      </c>
      <c r="AS134" s="5">
        <v>2</v>
      </c>
      <c r="AT134" s="5" t="str">
        <f t="shared" si="24"/>
        <v>Number</v>
      </c>
      <c r="AU134" s="5" t="str">
        <f t="shared" si="25"/>
        <v>Number</v>
      </c>
      <c r="AV134" s="5" t="str">
        <f t="shared" si="26"/>
        <v>Diff</v>
      </c>
      <c r="AW134" s="5">
        <v>2</v>
      </c>
      <c r="AX134" s="5">
        <v>4</v>
      </c>
      <c r="AY134" s="5" t="str">
        <f t="shared" si="27"/>
        <v>Number</v>
      </c>
      <c r="AZ134" s="5" t="str">
        <f t="shared" si="28"/>
        <v>Number</v>
      </c>
      <c r="BA134" s="5" t="str">
        <f t="shared" si="29"/>
        <v>Diff</v>
      </c>
      <c r="BD134" s="5">
        <v>3</v>
      </c>
      <c r="BE134" s="5">
        <v>0.75</v>
      </c>
      <c r="BH134" s="5">
        <v>0</v>
      </c>
      <c r="BI134" s="5">
        <v>0.16</v>
      </c>
      <c r="BJ134" s="5">
        <v>0.16</v>
      </c>
      <c r="BK134" s="5" t="str">
        <f t="shared" si="30"/>
        <v>Number</v>
      </c>
      <c r="BL134" s="5" t="str">
        <f t="shared" si="31"/>
        <v>Number</v>
      </c>
      <c r="BM134" s="5" t="str">
        <f t="shared" si="32"/>
        <v/>
      </c>
      <c r="BN134" s="5">
        <v>0.5</v>
      </c>
      <c r="BO134" s="5">
        <v>0.5</v>
      </c>
      <c r="BP134" s="5" t="str">
        <f t="shared" si="33"/>
        <v>Number</v>
      </c>
      <c r="BQ134" s="5" t="str">
        <f t="shared" si="34"/>
        <v>Number</v>
      </c>
      <c r="BR134" s="5" t="str">
        <f t="shared" si="35"/>
        <v/>
      </c>
      <c r="BX134" s="5">
        <v>0.6</v>
      </c>
      <c r="CA134" t="str">
        <f>IF(OR(AV134="Diff",BA134="Diff",BM134="Diff",BR134="Diff"),"Diff","")</f>
        <v>Diff</v>
      </c>
    </row>
    <row r="135" spans="1:79" hidden="1" x14ac:dyDescent="0.25">
      <c r="A135" t="s">
        <v>297</v>
      </c>
      <c r="B135" t="s">
        <v>167</v>
      </c>
      <c r="C135" t="s">
        <v>387</v>
      </c>
      <c r="D135" t="s">
        <v>426</v>
      </c>
      <c r="E135">
        <v>0</v>
      </c>
      <c r="F135">
        <v>0</v>
      </c>
      <c r="G135" t="s">
        <v>396</v>
      </c>
      <c r="H135" t="s">
        <v>397</v>
      </c>
      <c r="I135" t="s">
        <v>425</v>
      </c>
      <c r="J135" t="s">
        <v>413</v>
      </c>
      <c r="K135">
        <v>60</v>
      </c>
      <c r="L135">
        <v>2000</v>
      </c>
      <c r="M135">
        <v>0</v>
      </c>
      <c r="N135">
        <v>0</v>
      </c>
      <c r="O135">
        <v>0</v>
      </c>
      <c r="P135">
        <v>0</v>
      </c>
      <c r="Q135">
        <v>1</v>
      </c>
      <c r="R135">
        <v>0</v>
      </c>
      <c r="S135">
        <v>0</v>
      </c>
      <c r="T135">
        <v>7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0.1</v>
      </c>
      <c r="AB135" s="2" t="s">
        <v>374</v>
      </c>
      <c r="AC135">
        <v>0</v>
      </c>
      <c r="AD135">
        <v>1</v>
      </c>
      <c r="AE135">
        <v>0</v>
      </c>
      <c r="AF135">
        <v>180</v>
      </c>
      <c r="AG135">
        <v>0</v>
      </c>
      <c r="AH135">
        <v>0</v>
      </c>
      <c r="AI135">
        <v>0</v>
      </c>
      <c r="AJ135">
        <v>0</v>
      </c>
      <c r="AO135">
        <v>5</v>
      </c>
      <c r="AP135"/>
      <c r="AQ135">
        <v>1</v>
      </c>
      <c r="AT135" s="5" t="str">
        <f t="shared" si="24"/>
        <v>Blank</v>
      </c>
      <c r="AU135" s="5" t="str">
        <f t="shared" si="25"/>
        <v>Blank</v>
      </c>
      <c r="AV135" s="5" t="str">
        <f t="shared" si="26"/>
        <v/>
      </c>
      <c r="AY135" s="5" t="str">
        <f t="shared" si="27"/>
        <v>Blank</v>
      </c>
      <c r="AZ135" s="5" t="str">
        <f t="shared" si="28"/>
        <v>Blank</v>
      </c>
      <c r="BA135" s="5" t="str">
        <f t="shared" si="29"/>
        <v/>
      </c>
      <c r="BH135" s="5">
        <v>1</v>
      </c>
      <c r="BK135" s="5" t="str">
        <f t="shared" si="30"/>
        <v>Blank</v>
      </c>
      <c r="BL135" s="5" t="str">
        <f t="shared" si="31"/>
        <v>Blank</v>
      </c>
      <c r="BM135" s="5" t="str">
        <f t="shared" si="32"/>
        <v/>
      </c>
      <c r="BP135" s="5" t="str">
        <f t="shared" si="33"/>
        <v>Blank</v>
      </c>
      <c r="BQ135" s="5" t="str">
        <f t="shared" si="34"/>
        <v>Blank</v>
      </c>
      <c r="BR135" s="5" t="str">
        <f t="shared" si="35"/>
        <v/>
      </c>
      <c r="CA135" t="str">
        <f>IF(OR(AV135="Diff",BA135="Diff",BM135="Diff",BR135="Diff"),"Diff","")</f>
        <v/>
      </c>
    </row>
    <row r="136" spans="1:79" hidden="1" x14ac:dyDescent="0.25">
      <c r="A136" t="s">
        <v>298</v>
      </c>
      <c r="B136" t="s">
        <v>167</v>
      </c>
      <c r="C136" t="s">
        <v>387</v>
      </c>
      <c r="D136" t="s">
        <v>388</v>
      </c>
      <c r="E136" s="2">
        <v>320</v>
      </c>
      <c r="F136" s="2">
        <v>320</v>
      </c>
      <c r="G136" t="s">
        <v>383</v>
      </c>
      <c r="H136" t="s">
        <v>384</v>
      </c>
      <c r="I136" t="s">
        <v>427</v>
      </c>
      <c r="J136" t="s">
        <v>399</v>
      </c>
      <c r="K136">
        <v>2600</v>
      </c>
      <c r="L136" s="2" t="s">
        <v>373</v>
      </c>
      <c r="M136">
        <v>0</v>
      </c>
      <c r="N136">
        <v>0</v>
      </c>
      <c r="O136">
        <v>0</v>
      </c>
      <c r="P136">
        <v>0</v>
      </c>
      <c r="Q136">
        <v>1</v>
      </c>
      <c r="R136">
        <v>1</v>
      </c>
      <c r="S136">
        <v>0</v>
      </c>
      <c r="T136" s="2">
        <v>1.6</v>
      </c>
      <c r="U136" s="2">
        <v>0</v>
      </c>
      <c r="V136" s="2">
        <v>0</v>
      </c>
      <c r="W136">
        <v>0</v>
      </c>
      <c r="X136">
        <v>0</v>
      </c>
      <c r="Y136">
        <v>260</v>
      </c>
      <c r="Z136">
        <v>40</v>
      </c>
      <c r="AA136">
        <v>0.1</v>
      </c>
      <c r="AB136" s="2" t="s">
        <v>374</v>
      </c>
      <c r="AC136">
        <v>0</v>
      </c>
      <c r="AD136">
        <v>0</v>
      </c>
      <c r="AE136">
        <v>0</v>
      </c>
      <c r="AF136">
        <v>10</v>
      </c>
      <c r="AG136">
        <v>0</v>
      </c>
      <c r="AH136">
        <v>0</v>
      </c>
      <c r="AI136">
        <v>0</v>
      </c>
      <c r="AJ136">
        <v>0</v>
      </c>
      <c r="AO136">
        <v>5</v>
      </c>
      <c r="AP136"/>
      <c r="AQ136">
        <v>1</v>
      </c>
      <c r="AT136" s="5" t="str">
        <f t="shared" si="24"/>
        <v>Blank</v>
      </c>
      <c r="AU136" s="5" t="str">
        <f t="shared" si="25"/>
        <v>Blank</v>
      </c>
      <c r="AV136" s="5" t="str">
        <f t="shared" si="26"/>
        <v/>
      </c>
      <c r="AY136" s="5" t="str">
        <f t="shared" si="27"/>
        <v>Blank</v>
      </c>
      <c r="AZ136" s="5" t="str">
        <f t="shared" si="28"/>
        <v>Blank</v>
      </c>
      <c r="BA136" s="5" t="str">
        <f t="shared" si="29"/>
        <v/>
      </c>
      <c r="BB136" s="5">
        <v>0.8</v>
      </c>
      <c r="BD136" s="5">
        <v>0.5</v>
      </c>
      <c r="BE136" s="5">
        <v>0.24</v>
      </c>
      <c r="BF136" s="5">
        <v>0.25</v>
      </c>
      <c r="BH136" s="5">
        <v>1</v>
      </c>
      <c r="BI136" s="5">
        <v>0.02</v>
      </c>
      <c r="BJ136" s="5">
        <v>0.02</v>
      </c>
      <c r="BK136" s="5" t="str">
        <f t="shared" si="30"/>
        <v>Number</v>
      </c>
      <c r="BL136" s="5" t="str">
        <f t="shared" si="31"/>
        <v>Number</v>
      </c>
      <c r="BM136" s="5" t="str">
        <f t="shared" si="32"/>
        <v/>
      </c>
      <c r="BN136" s="5">
        <v>0.02</v>
      </c>
      <c r="BO136" s="5">
        <v>0.02</v>
      </c>
      <c r="BP136" s="5" t="str">
        <f t="shared" si="33"/>
        <v>Number</v>
      </c>
      <c r="BQ136" s="5" t="str">
        <f t="shared" si="34"/>
        <v>Number</v>
      </c>
      <c r="BR136" s="5" t="str">
        <f t="shared" si="35"/>
        <v/>
      </c>
      <c r="BS136" s="5">
        <v>0.7</v>
      </c>
      <c r="CA136" t="str">
        <f>IF(OR(AV136="Diff",BA136="Diff",BM136="Diff",BR136="Diff"),"Diff","")</f>
        <v/>
      </c>
    </row>
    <row r="137" spans="1:79" x14ac:dyDescent="0.25">
      <c r="A137" t="s">
        <v>299</v>
      </c>
      <c r="B137" t="s">
        <v>167</v>
      </c>
      <c r="C137" t="s">
        <v>387</v>
      </c>
      <c r="D137" t="s">
        <v>388</v>
      </c>
      <c r="E137">
        <v>60</v>
      </c>
      <c r="F137">
        <v>60</v>
      </c>
      <c r="G137" t="s">
        <v>383</v>
      </c>
      <c r="H137" t="s">
        <v>393</v>
      </c>
      <c r="I137" t="s">
        <v>422</v>
      </c>
      <c r="J137" t="s">
        <v>392</v>
      </c>
      <c r="K137">
        <v>0</v>
      </c>
      <c r="L137" s="2">
        <v>1550</v>
      </c>
      <c r="M137">
        <v>0</v>
      </c>
      <c r="N137">
        <v>0.4</v>
      </c>
      <c r="O137">
        <v>0</v>
      </c>
      <c r="P137">
        <v>0</v>
      </c>
      <c r="Q137">
        <v>2</v>
      </c>
      <c r="R137">
        <v>1</v>
      </c>
      <c r="S137">
        <v>0</v>
      </c>
      <c r="T137">
        <v>0.4</v>
      </c>
      <c r="U137">
        <v>1.2</v>
      </c>
      <c r="V137">
        <v>3</v>
      </c>
      <c r="W137">
        <v>0</v>
      </c>
      <c r="X137">
        <v>0</v>
      </c>
      <c r="Y137">
        <v>0</v>
      </c>
      <c r="Z137">
        <v>0</v>
      </c>
      <c r="AA137">
        <v>0.1</v>
      </c>
      <c r="AB137" s="2" t="s">
        <v>374</v>
      </c>
      <c r="AC137">
        <v>0</v>
      </c>
      <c r="AD137">
        <v>0</v>
      </c>
      <c r="AE137">
        <v>300</v>
      </c>
      <c r="AF137" s="2">
        <v>10</v>
      </c>
      <c r="AG137">
        <v>0</v>
      </c>
      <c r="AH137">
        <v>0</v>
      </c>
      <c r="AI137">
        <v>0</v>
      </c>
      <c r="AJ137">
        <v>0</v>
      </c>
      <c r="AO137">
        <v>5</v>
      </c>
      <c r="AQ137">
        <v>1</v>
      </c>
      <c r="AT137" s="5" t="str">
        <f t="shared" si="24"/>
        <v>Blank</v>
      </c>
      <c r="AU137" s="5" t="str">
        <f t="shared" si="25"/>
        <v>Blank</v>
      </c>
      <c r="AV137" s="5" t="str">
        <f t="shared" si="26"/>
        <v/>
      </c>
      <c r="AX137" s="5">
        <v>2.5</v>
      </c>
      <c r="AY137" s="5" t="str">
        <f t="shared" si="27"/>
        <v>Blank</v>
      </c>
      <c r="AZ137" s="5" t="str">
        <f t="shared" si="28"/>
        <v>Number</v>
      </c>
      <c r="BA137" s="5" t="str">
        <f t="shared" si="29"/>
        <v>Diff</v>
      </c>
      <c r="BB137" s="5">
        <v>1</v>
      </c>
      <c r="BC137" s="5">
        <v>1</v>
      </c>
      <c r="BD137" s="5">
        <v>1.04</v>
      </c>
      <c r="BE137" s="5">
        <v>0.8</v>
      </c>
      <c r="BH137" s="5">
        <v>1</v>
      </c>
      <c r="BI137" s="5">
        <v>0.1</v>
      </c>
      <c r="BJ137" s="5">
        <v>0.1</v>
      </c>
      <c r="BK137" s="5" t="str">
        <f t="shared" si="30"/>
        <v>Number</v>
      </c>
      <c r="BL137" s="5" t="str">
        <f t="shared" si="31"/>
        <v>Number</v>
      </c>
      <c r="BM137" s="5" t="str">
        <f t="shared" si="32"/>
        <v/>
      </c>
      <c r="BO137" s="5">
        <v>1</v>
      </c>
      <c r="BP137" s="5" t="str">
        <f t="shared" si="33"/>
        <v>Blank</v>
      </c>
      <c r="BQ137" s="5" t="str">
        <f t="shared" si="34"/>
        <v>Number</v>
      </c>
      <c r="BR137" s="5" t="str">
        <f t="shared" si="35"/>
        <v>Diff</v>
      </c>
      <c r="CA137" t="str">
        <f>IF(OR(AV137="Diff",BA137="Diff",BM137="Diff",BR137="Diff"),"Diff","")</f>
        <v>Diff</v>
      </c>
    </row>
    <row r="138" spans="1:79" x14ac:dyDescent="0.25">
      <c r="A138" t="s">
        <v>300</v>
      </c>
      <c r="B138" t="s">
        <v>167</v>
      </c>
      <c r="C138" t="s">
        <v>387</v>
      </c>
      <c r="D138" t="s">
        <v>388</v>
      </c>
      <c r="E138">
        <v>30</v>
      </c>
      <c r="F138">
        <v>30</v>
      </c>
      <c r="G138" t="s">
        <v>390</v>
      </c>
      <c r="H138" t="s">
        <v>393</v>
      </c>
      <c r="I138" t="s">
        <v>422</v>
      </c>
      <c r="J138" t="s">
        <v>392</v>
      </c>
      <c r="K138">
        <v>0</v>
      </c>
      <c r="L138">
        <v>1400</v>
      </c>
      <c r="M138">
        <v>0</v>
      </c>
      <c r="N138">
        <v>0.4</v>
      </c>
      <c r="O138">
        <v>0</v>
      </c>
      <c r="P138">
        <v>0</v>
      </c>
      <c r="Q138">
        <v>2</v>
      </c>
      <c r="R138">
        <v>1</v>
      </c>
      <c r="S138">
        <v>0</v>
      </c>
      <c r="T138">
        <v>0.5</v>
      </c>
      <c r="U138">
        <v>1.1000000000000001</v>
      </c>
      <c r="V138">
        <v>0.7</v>
      </c>
      <c r="W138">
        <v>0</v>
      </c>
      <c r="X138">
        <v>0</v>
      </c>
      <c r="Y138">
        <v>120</v>
      </c>
      <c r="Z138">
        <v>120</v>
      </c>
      <c r="AA138">
        <v>0.1</v>
      </c>
      <c r="AB138" s="2" t="s">
        <v>374</v>
      </c>
      <c r="AC138">
        <v>0</v>
      </c>
      <c r="AD138">
        <v>0</v>
      </c>
      <c r="AE138">
        <v>300</v>
      </c>
      <c r="AF138">
        <v>0</v>
      </c>
      <c r="AG138">
        <v>-180</v>
      </c>
      <c r="AH138">
        <v>180</v>
      </c>
      <c r="AI138">
        <v>-5</v>
      </c>
      <c r="AJ138">
        <v>60</v>
      </c>
      <c r="AO138">
        <v>5</v>
      </c>
      <c r="AQ138">
        <v>1</v>
      </c>
      <c r="AT138" s="5" t="str">
        <f t="shared" si="24"/>
        <v>Blank</v>
      </c>
      <c r="AU138" s="5" t="str">
        <f t="shared" si="25"/>
        <v>Blank</v>
      </c>
      <c r="AV138" s="5" t="str">
        <f t="shared" si="26"/>
        <v/>
      </c>
      <c r="AY138" s="5" t="str">
        <f t="shared" si="27"/>
        <v>Blank</v>
      </c>
      <c r="AZ138" s="5" t="str">
        <f t="shared" si="28"/>
        <v>Blank</v>
      </c>
      <c r="BA138" s="5" t="str">
        <f t="shared" si="29"/>
        <v/>
      </c>
      <c r="BB138" s="5">
        <v>0.5</v>
      </c>
      <c r="BC138" s="5">
        <v>0.5</v>
      </c>
      <c r="BH138" s="5">
        <v>1</v>
      </c>
      <c r="BI138" s="5">
        <v>0.01</v>
      </c>
      <c r="BK138" s="5" t="str">
        <f t="shared" si="30"/>
        <v>Number</v>
      </c>
      <c r="BL138" s="5" t="str">
        <f t="shared" si="31"/>
        <v>Blank</v>
      </c>
      <c r="BM138" s="5" t="str">
        <f t="shared" si="32"/>
        <v>Diff</v>
      </c>
      <c r="BN138" s="5">
        <v>0.3</v>
      </c>
      <c r="BP138" s="5" t="str">
        <f t="shared" si="33"/>
        <v>Number</v>
      </c>
      <c r="BQ138" s="5" t="str">
        <f t="shared" si="34"/>
        <v>Blank</v>
      </c>
      <c r="BR138" s="5" t="str">
        <f t="shared" si="35"/>
        <v>Diff</v>
      </c>
      <c r="CA138" t="str">
        <f>IF(OR(AV138="Diff",BA138="Diff",BM138="Diff",BR138="Diff"),"Diff","")</f>
        <v>Diff</v>
      </c>
    </row>
    <row r="139" spans="1:79" hidden="1" x14ac:dyDescent="0.25">
      <c r="A139" s="3" t="s">
        <v>479</v>
      </c>
      <c r="B139" t="s">
        <v>167</v>
      </c>
      <c r="C139" t="s">
        <v>387</v>
      </c>
      <c r="D139" t="s">
        <v>388</v>
      </c>
      <c r="E139">
        <v>90</v>
      </c>
      <c r="F139">
        <v>90</v>
      </c>
      <c r="G139" t="s">
        <v>396</v>
      </c>
      <c r="H139" t="s">
        <v>400</v>
      </c>
      <c r="I139" t="s">
        <v>423</v>
      </c>
      <c r="J139" t="s">
        <v>392</v>
      </c>
      <c r="K139">
        <v>0</v>
      </c>
      <c r="L139">
        <v>0</v>
      </c>
      <c r="M139" t="s">
        <v>480</v>
      </c>
      <c r="N139">
        <v>2</v>
      </c>
      <c r="O139">
        <v>0</v>
      </c>
      <c r="P139">
        <v>0</v>
      </c>
      <c r="Q139">
        <v>10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0.1</v>
      </c>
      <c r="AB139" t="s">
        <v>374</v>
      </c>
      <c r="AC139">
        <v>1</v>
      </c>
      <c r="AD139">
        <v>0</v>
      </c>
      <c r="AE139">
        <v>0</v>
      </c>
      <c r="AF139">
        <v>180</v>
      </c>
      <c r="AG139">
        <v>0</v>
      </c>
      <c r="AH139">
        <v>0</v>
      </c>
      <c r="AI139">
        <v>0</v>
      </c>
      <c r="AJ139">
        <v>0</v>
      </c>
      <c r="AO139">
        <v>5</v>
      </c>
      <c r="AP139"/>
      <c r="AQ139">
        <v>0</v>
      </c>
      <c r="AT139" s="5" t="str">
        <f t="shared" si="24"/>
        <v>Blank</v>
      </c>
      <c r="AU139" s="5" t="str">
        <f t="shared" si="25"/>
        <v>Blank</v>
      </c>
      <c r="AV139" s="5" t="str">
        <f t="shared" si="26"/>
        <v/>
      </c>
      <c r="AY139" s="5" t="str">
        <f t="shared" si="27"/>
        <v>Blank</v>
      </c>
      <c r="AZ139" s="5" t="str">
        <f t="shared" si="28"/>
        <v>Blank</v>
      </c>
      <c r="BA139" s="5" t="str">
        <f t="shared" si="29"/>
        <v/>
      </c>
      <c r="BK139" s="5" t="str">
        <f t="shared" si="30"/>
        <v>Blank</v>
      </c>
      <c r="BL139" s="5" t="str">
        <f t="shared" si="31"/>
        <v>Blank</v>
      </c>
      <c r="BM139" s="5" t="str">
        <f t="shared" si="32"/>
        <v/>
      </c>
      <c r="BP139" s="5" t="str">
        <f t="shared" si="33"/>
        <v>Blank</v>
      </c>
      <c r="BQ139" s="5" t="str">
        <f t="shared" si="34"/>
        <v>Blank</v>
      </c>
      <c r="BR139" s="5" t="str">
        <f t="shared" si="35"/>
        <v/>
      </c>
      <c r="CA139" t="str">
        <f>IF(OR(AV139="Diff",BA139="Diff",BM139="Diff",BR139="Diff"),"Diff","")</f>
        <v/>
      </c>
    </row>
    <row r="140" spans="1:79" hidden="1" x14ac:dyDescent="0.25">
      <c r="A140" t="s">
        <v>301</v>
      </c>
      <c r="B140" t="s">
        <v>167</v>
      </c>
      <c r="C140" t="s">
        <v>387</v>
      </c>
      <c r="D140" t="s">
        <v>388</v>
      </c>
      <c r="E140">
        <v>5000</v>
      </c>
      <c r="F140">
        <v>5000</v>
      </c>
      <c r="G140" t="s">
        <v>383</v>
      </c>
      <c r="H140" t="s">
        <v>397</v>
      </c>
      <c r="I140" t="s">
        <v>428</v>
      </c>
      <c r="J140" t="s">
        <v>413</v>
      </c>
      <c r="K140">
        <v>150</v>
      </c>
      <c r="L140">
        <v>1000</v>
      </c>
      <c r="M140">
        <v>0</v>
      </c>
      <c r="N140">
        <v>0</v>
      </c>
      <c r="O140">
        <v>0</v>
      </c>
      <c r="P140">
        <v>0</v>
      </c>
      <c r="Q140">
        <v>1</v>
      </c>
      <c r="R140">
        <v>0</v>
      </c>
      <c r="S140">
        <v>0</v>
      </c>
      <c r="T140">
        <v>0.5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0.1</v>
      </c>
      <c r="AB140" s="2" t="s">
        <v>374</v>
      </c>
      <c r="AC140">
        <v>0</v>
      </c>
      <c r="AD140">
        <v>0</v>
      </c>
      <c r="AE140">
        <v>0</v>
      </c>
      <c r="AF140">
        <v>180</v>
      </c>
      <c r="AG140">
        <v>0</v>
      </c>
      <c r="AH140">
        <v>0</v>
      </c>
      <c r="AI140">
        <v>0</v>
      </c>
      <c r="AJ140">
        <v>0</v>
      </c>
      <c r="AO140">
        <v>5</v>
      </c>
      <c r="AP140"/>
      <c r="AQ140">
        <v>1</v>
      </c>
      <c r="AT140" s="5" t="str">
        <f t="shared" si="24"/>
        <v>Blank</v>
      </c>
      <c r="AU140" s="5" t="str">
        <f t="shared" si="25"/>
        <v>Blank</v>
      </c>
      <c r="AV140" s="5" t="str">
        <f t="shared" si="26"/>
        <v/>
      </c>
      <c r="AY140" s="5" t="str">
        <f t="shared" si="27"/>
        <v>Blank</v>
      </c>
      <c r="AZ140" s="5" t="str">
        <f t="shared" si="28"/>
        <v>Blank</v>
      </c>
      <c r="BA140" s="5" t="str">
        <f t="shared" si="29"/>
        <v/>
      </c>
      <c r="BG140" s="5">
        <v>0</v>
      </c>
      <c r="BH140" s="5">
        <v>1</v>
      </c>
      <c r="BI140" s="5">
        <v>0</v>
      </c>
      <c r="BJ140" s="5">
        <v>0</v>
      </c>
      <c r="BK140" s="5" t="str">
        <f t="shared" si="30"/>
        <v>Zero</v>
      </c>
      <c r="BL140" s="5" t="str">
        <f t="shared" si="31"/>
        <v>Zero</v>
      </c>
      <c r="BM140" s="5" t="str">
        <f t="shared" si="32"/>
        <v/>
      </c>
      <c r="BN140" s="5">
        <v>0</v>
      </c>
      <c r="BO140" s="5">
        <v>0</v>
      </c>
      <c r="BP140" s="5" t="str">
        <f t="shared" si="33"/>
        <v>Zero</v>
      </c>
      <c r="BQ140" s="5" t="str">
        <f t="shared" si="34"/>
        <v>Zero</v>
      </c>
      <c r="BR140" s="5" t="str">
        <f t="shared" si="35"/>
        <v/>
      </c>
      <c r="CA140" t="str">
        <f>IF(OR(AV140="Diff",BA140="Diff",BM140="Diff",BR140="Diff"),"Diff","")</f>
        <v/>
      </c>
    </row>
    <row r="141" spans="1:79" x14ac:dyDescent="0.25">
      <c r="A141" t="s">
        <v>302</v>
      </c>
      <c r="B141" t="s">
        <v>167</v>
      </c>
      <c r="C141" t="s">
        <v>387</v>
      </c>
      <c r="D141" t="s">
        <v>388</v>
      </c>
      <c r="E141">
        <v>42</v>
      </c>
      <c r="F141">
        <v>42</v>
      </c>
      <c r="G141" t="s">
        <v>383</v>
      </c>
      <c r="H141" t="s">
        <v>384</v>
      </c>
      <c r="I141" t="s">
        <v>414</v>
      </c>
      <c r="J141" t="s">
        <v>392</v>
      </c>
      <c r="K141">
        <v>1500</v>
      </c>
      <c r="L141">
        <v>1200</v>
      </c>
      <c r="M141">
        <v>0</v>
      </c>
      <c r="N141">
        <v>0</v>
      </c>
      <c r="O141">
        <v>0</v>
      </c>
      <c r="P141">
        <v>0</v>
      </c>
      <c r="Q141">
        <v>1</v>
      </c>
      <c r="R141">
        <v>1</v>
      </c>
      <c r="S141">
        <v>0</v>
      </c>
      <c r="T141">
        <v>3</v>
      </c>
      <c r="U141">
        <v>0</v>
      </c>
      <c r="V141">
        <v>0</v>
      </c>
      <c r="W141">
        <v>1</v>
      </c>
      <c r="X141">
        <v>0</v>
      </c>
      <c r="Y141">
        <v>60</v>
      </c>
      <c r="Z141">
        <v>60</v>
      </c>
      <c r="AA141">
        <v>0.1</v>
      </c>
      <c r="AB141" s="2" t="s">
        <v>374</v>
      </c>
      <c r="AC141">
        <v>1</v>
      </c>
      <c r="AD141">
        <v>0</v>
      </c>
      <c r="AE141">
        <v>0</v>
      </c>
      <c r="AF141">
        <v>5</v>
      </c>
      <c r="AG141">
        <v>0</v>
      </c>
      <c r="AH141">
        <v>0</v>
      </c>
      <c r="AI141">
        <v>0</v>
      </c>
      <c r="AJ141">
        <v>0</v>
      </c>
      <c r="AO141">
        <v>5</v>
      </c>
      <c r="AQ141">
        <v>1</v>
      </c>
      <c r="AT141" s="5" t="str">
        <f t="shared" si="24"/>
        <v>Blank</v>
      </c>
      <c r="AU141" s="5" t="str">
        <f t="shared" si="25"/>
        <v>Blank</v>
      </c>
      <c r="AV141" s="5" t="str">
        <f t="shared" si="26"/>
        <v/>
      </c>
      <c r="AY141" s="5" t="str">
        <f t="shared" si="27"/>
        <v>Blank</v>
      </c>
      <c r="AZ141" s="5" t="str">
        <f t="shared" si="28"/>
        <v>Blank</v>
      </c>
      <c r="BA141" s="5" t="str">
        <f t="shared" si="29"/>
        <v/>
      </c>
      <c r="BE141" s="5">
        <v>0.8</v>
      </c>
      <c r="BG141" s="5">
        <v>1</v>
      </c>
      <c r="BH141" s="5">
        <v>1</v>
      </c>
      <c r="BI141" s="5">
        <v>0.1</v>
      </c>
      <c r="BK141" s="5" t="str">
        <f t="shared" si="30"/>
        <v>Number</v>
      </c>
      <c r="BL141" s="5" t="str">
        <f t="shared" si="31"/>
        <v>Blank</v>
      </c>
      <c r="BM141" s="5" t="str">
        <f t="shared" si="32"/>
        <v>Diff</v>
      </c>
      <c r="BN141" s="5">
        <v>0.13</v>
      </c>
      <c r="BP141" s="5" t="str">
        <f t="shared" si="33"/>
        <v>Number</v>
      </c>
      <c r="BQ141" s="5" t="str">
        <f t="shared" si="34"/>
        <v>Blank</v>
      </c>
      <c r="BR141" s="5" t="str">
        <f t="shared" si="35"/>
        <v>Diff</v>
      </c>
      <c r="BS141" s="5">
        <v>0.8</v>
      </c>
      <c r="BT141" s="5">
        <v>0.6</v>
      </c>
      <c r="BU141" s="5">
        <v>0.6</v>
      </c>
      <c r="BX141" s="5">
        <v>0.6</v>
      </c>
      <c r="CA141" t="str">
        <f>IF(OR(AV141="Diff",BA141="Diff",BM141="Diff",BR141="Diff"),"Diff","")</f>
        <v>Diff</v>
      </c>
    </row>
    <row r="142" spans="1:79" hidden="1" x14ac:dyDescent="0.25">
      <c r="A142" t="s">
        <v>303</v>
      </c>
      <c r="B142" t="s">
        <v>167</v>
      </c>
      <c r="C142" t="s">
        <v>387</v>
      </c>
      <c r="D142" t="s">
        <v>388</v>
      </c>
      <c r="E142">
        <v>100</v>
      </c>
      <c r="F142">
        <v>100</v>
      </c>
      <c r="G142" t="s">
        <v>396</v>
      </c>
      <c r="H142" t="s">
        <v>400</v>
      </c>
      <c r="I142" t="s">
        <v>415</v>
      </c>
      <c r="J142" t="s">
        <v>392</v>
      </c>
      <c r="K142">
        <v>0</v>
      </c>
      <c r="L142">
        <v>0</v>
      </c>
      <c r="M142">
        <v>200</v>
      </c>
      <c r="N142">
        <v>2</v>
      </c>
      <c r="O142">
        <v>0</v>
      </c>
      <c r="P142">
        <v>0</v>
      </c>
      <c r="Q142">
        <v>10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0.1</v>
      </c>
      <c r="AB142" s="2" t="s">
        <v>374</v>
      </c>
      <c r="AC142">
        <v>1</v>
      </c>
      <c r="AD142">
        <v>0</v>
      </c>
      <c r="AE142">
        <v>0</v>
      </c>
      <c r="AO142">
        <v>5</v>
      </c>
      <c r="AP142"/>
      <c r="AQ142">
        <v>1</v>
      </c>
      <c r="AR142" s="5">
        <v>1</v>
      </c>
      <c r="AS142" s="5">
        <v>1</v>
      </c>
      <c r="AT142" s="5" t="str">
        <f t="shared" si="24"/>
        <v>Number</v>
      </c>
      <c r="AU142" s="5" t="str">
        <f t="shared" si="25"/>
        <v>Number</v>
      </c>
      <c r="AV142" s="5" t="str">
        <f t="shared" si="26"/>
        <v/>
      </c>
      <c r="AW142" s="5">
        <v>0</v>
      </c>
      <c r="AX142" s="5">
        <v>0</v>
      </c>
      <c r="AY142" s="5" t="str">
        <f t="shared" si="27"/>
        <v>Zero</v>
      </c>
      <c r="AZ142" s="5" t="str">
        <f t="shared" si="28"/>
        <v>Zero</v>
      </c>
      <c r="BA142" s="5" t="str">
        <f t="shared" si="29"/>
        <v/>
      </c>
      <c r="BB142" s="5">
        <v>0.4</v>
      </c>
      <c r="BC142" s="5">
        <v>0.4</v>
      </c>
      <c r="BD142" s="5">
        <v>0.3</v>
      </c>
      <c r="BE142" s="5">
        <v>0.15</v>
      </c>
      <c r="BK142" s="5" t="str">
        <f t="shared" si="30"/>
        <v>Blank</v>
      </c>
      <c r="BL142" s="5" t="str">
        <f t="shared" si="31"/>
        <v>Blank</v>
      </c>
      <c r="BM142" s="5" t="str">
        <f t="shared" si="32"/>
        <v/>
      </c>
      <c r="BP142" s="5" t="str">
        <f t="shared" si="33"/>
        <v>Blank</v>
      </c>
      <c r="BQ142" s="5" t="str">
        <f t="shared" si="34"/>
        <v>Blank</v>
      </c>
      <c r="BR142" s="5" t="str">
        <f t="shared" si="35"/>
        <v/>
      </c>
      <c r="CA142" t="str">
        <f>IF(OR(AV142="Diff",BA142="Diff",BM142="Diff",BR142="Diff"),"Diff","")</f>
        <v/>
      </c>
    </row>
    <row r="143" spans="1:79" hidden="1" x14ac:dyDescent="0.25">
      <c r="A143" t="s">
        <v>304</v>
      </c>
      <c r="B143" t="s">
        <v>167</v>
      </c>
      <c r="C143" t="s">
        <v>387</v>
      </c>
      <c r="D143" t="s">
        <v>409</v>
      </c>
      <c r="E143">
        <v>0</v>
      </c>
      <c r="F143">
        <v>0</v>
      </c>
      <c r="G143" t="s">
        <v>383</v>
      </c>
      <c r="H143" t="s">
        <v>384</v>
      </c>
      <c r="I143" t="s">
        <v>408</v>
      </c>
      <c r="J143" t="s">
        <v>392</v>
      </c>
      <c r="K143">
        <v>3000</v>
      </c>
      <c r="L143">
        <v>8000</v>
      </c>
      <c r="M143">
        <v>0</v>
      </c>
      <c r="N143">
        <v>0</v>
      </c>
      <c r="O143">
        <v>0</v>
      </c>
      <c r="P143">
        <v>0</v>
      </c>
      <c r="Q143">
        <v>1</v>
      </c>
      <c r="R143">
        <v>1</v>
      </c>
      <c r="S143">
        <v>0</v>
      </c>
      <c r="T143">
        <v>10</v>
      </c>
      <c r="U143">
        <v>0</v>
      </c>
      <c r="V143">
        <v>0</v>
      </c>
      <c r="W143">
        <v>0</v>
      </c>
      <c r="X143">
        <v>0</v>
      </c>
      <c r="Y143">
        <v>120</v>
      </c>
      <c r="Z143">
        <v>120</v>
      </c>
      <c r="AA143">
        <v>0.1</v>
      </c>
      <c r="AB143" s="2" t="s">
        <v>374</v>
      </c>
      <c r="AC143">
        <v>1</v>
      </c>
      <c r="AD143">
        <v>0</v>
      </c>
      <c r="AE143">
        <v>0</v>
      </c>
      <c r="AF143">
        <v>5</v>
      </c>
      <c r="AG143">
        <v>0</v>
      </c>
      <c r="AH143">
        <v>0</v>
      </c>
      <c r="AI143">
        <v>0</v>
      </c>
      <c r="AJ143">
        <v>0</v>
      </c>
      <c r="AK143" t="s">
        <v>410</v>
      </c>
      <c r="AL143" t="s">
        <v>409</v>
      </c>
      <c r="AM143">
        <v>0</v>
      </c>
      <c r="AN143">
        <v>0</v>
      </c>
      <c r="AO143">
        <v>0</v>
      </c>
      <c r="AP143"/>
      <c r="AQ143">
        <v>1</v>
      </c>
      <c r="AT143" s="5" t="str">
        <f t="shared" si="24"/>
        <v>Blank</v>
      </c>
      <c r="AU143" s="5" t="str">
        <f t="shared" si="25"/>
        <v>Blank</v>
      </c>
      <c r="AV143" s="5" t="str">
        <f t="shared" si="26"/>
        <v/>
      </c>
      <c r="AY143" s="5" t="str">
        <f t="shared" si="27"/>
        <v>Blank</v>
      </c>
      <c r="AZ143" s="5" t="str">
        <f t="shared" si="28"/>
        <v>Blank</v>
      </c>
      <c r="BA143" s="5" t="str">
        <f t="shared" si="29"/>
        <v/>
      </c>
      <c r="BG143" s="5">
        <v>1</v>
      </c>
      <c r="BH143" s="5">
        <v>0</v>
      </c>
      <c r="BK143" s="5" t="str">
        <f t="shared" si="30"/>
        <v>Blank</v>
      </c>
      <c r="BL143" s="5" t="str">
        <f t="shared" si="31"/>
        <v>Blank</v>
      </c>
      <c r="BM143" s="5" t="str">
        <f t="shared" si="32"/>
        <v/>
      </c>
      <c r="BP143" s="5" t="str">
        <f t="shared" si="33"/>
        <v>Blank</v>
      </c>
      <c r="BQ143" s="5" t="str">
        <f t="shared" si="34"/>
        <v>Blank</v>
      </c>
      <c r="BR143" s="5" t="str">
        <f t="shared" si="35"/>
        <v/>
      </c>
      <c r="BZ143" s="5">
        <v>1</v>
      </c>
      <c r="CA143" t="str">
        <f>IF(OR(AV143="Diff",BA143="Diff",BM143="Diff",BR143="Diff"),"Diff","")</f>
        <v/>
      </c>
    </row>
    <row r="144" spans="1:79" x14ac:dyDescent="0.25">
      <c r="A144" t="s">
        <v>305</v>
      </c>
      <c r="B144" t="s">
        <v>167</v>
      </c>
      <c r="C144" t="s">
        <v>387</v>
      </c>
      <c r="D144" t="s">
        <v>388</v>
      </c>
      <c r="E144">
        <v>4500</v>
      </c>
      <c r="F144">
        <v>4500</v>
      </c>
      <c r="G144" t="s">
        <v>383</v>
      </c>
      <c r="H144" t="s">
        <v>393</v>
      </c>
      <c r="I144" t="s">
        <v>403</v>
      </c>
      <c r="J144" t="s">
        <v>392</v>
      </c>
      <c r="K144">
        <v>0</v>
      </c>
      <c r="L144">
        <v>1400</v>
      </c>
      <c r="M144">
        <v>0</v>
      </c>
      <c r="N144">
        <v>3</v>
      </c>
      <c r="O144">
        <v>0</v>
      </c>
      <c r="P144">
        <v>0</v>
      </c>
      <c r="Q144">
        <v>10</v>
      </c>
      <c r="R144">
        <v>0</v>
      </c>
      <c r="S144">
        <v>1</v>
      </c>
      <c r="T144">
        <v>5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0.1</v>
      </c>
      <c r="AB144" s="2" t="s">
        <v>374</v>
      </c>
      <c r="AC144">
        <v>0</v>
      </c>
      <c r="AD144">
        <v>0</v>
      </c>
      <c r="AE144">
        <v>1000</v>
      </c>
      <c r="AF144">
        <v>0</v>
      </c>
      <c r="AG144">
        <v>-180</v>
      </c>
      <c r="AH144">
        <v>180</v>
      </c>
      <c r="AI144">
        <v>-1</v>
      </c>
      <c r="AJ144">
        <v>-20</v>
      </c>
      <c r="AO144">
        <v>5</v>
      </c>
      <c r="AQ144">
        <v>1</v>
      </c>
      <c r="AT144" s="5" t="str">
        <f t="shared" si="24"/>
        <v>Blank</v>
      </c>
      <c r="AU144" s="5" t="str">
        <f t="shared" si="25"/>
        <v>Blank</v>
      </c>
      <c r="AV144" s="5" t="str">
        <f t="shared" si="26"/>
        <v/>
      </c>
      <c r="AY144" s="5" t="str">
        <f t="shared" si="27"/>
        <v>Blank</v>
      </c>
      <c r="AZ144" s="5" t="str">
        <f t="shared" si="28"/>
        <v>Blank</v>
      </c>
      <c r="BA144" s="5" t="str">
        <f t="shared" si="29"/>
        <v/>
      </c>
      <c r="BH144" s="5">
        <v>1</v>
      </c>
      <c r="BI144" s="5">
        <v>2E-3</v>
      </c>
      <c r="BK144" s="5" t="str">
        <f t="shared" si="30"/>
        <v>Number</v>
      </c>
      <c r="BL144" s="5" t="str">
        <f t="shared" si="31"/>
        <v>Blank</v>
      </c>
      <c r="BM144" s="5" t="str">
        <f t="shared" si="32"/>
        <v>Diff</v>
      </c>
      <c r="BN144" s="5">
        <v>0.4</v>
      </c>
      <c r="BP144" s="5" t="str">
        <f t="shared" si="33"/>
        <v>Number</v>
      </c>
      <c r="BQ144" s="5" t="str">
        <f t="shared" si="34"/>
        <v>Blank</v>
      </c>
      <c r="BR144" s="5" t="str">
        <f t="shared" si="35"/>
        <v>Diff</v>
      </c>
      <c r="CA144" t="str">
        <f>IF(OR(AV144="Diff",BA144="Diff",BM144="Diff",BR144="Diff"),"Diff","")</f>
        <v>Diff</v>
      </c>
    </row>
    <row r="145" spans="1:79" x14ac:dyDescent="0.25">
      <c r="A145" t="s">
        <v>306</v>
      </c>
      <c r="B145" t="s">
        <v>167</v>
      </c>
      <c r="C145" t="s">
        <v>387</v>
      </c>
      <c r="D145" t="s">
        <v>388</v>
      </c>
      <c r="E145">
        <v>20</v>
      </c>
      <c r="F145">
        <v>20</v>
      </c>
      <c r="G145" t="s">
        <v>383</v>
      </c>
      <c r="H145" t="s">
        <v>393</v>
      </c>
      <c r="I145" t="s">
        <v>417</v>
      </c>
      <c r="J145" t="s">
        <v>392</v>
      </c>
      <c r="K145">
        <v>0</v>
      </c>
      <c r="L145">
        <v>1400</v>
      </c>
      <c r="M145">
        <v>0</v>
      </c>
      <c r="N145">
        <v>0.4</v>
      </c>
      <c r="O145">
        <v>0</v>
      </c>
      <c r="P145">
        <v>0</v>
      </c>
      <c r="Q145">
        <v>2</v>
      </c>
      <c r="R145">
        <v>0</v>
      </c>
      <c r="S145">
        <v>1</v>
      </c>
      <c r="T145">
        <v>0.5</v>
      </c>
      <c r="U145">
        <v>1.1000000000000001</v>
      </c>
      <c r="V145">
        <v>0.7</v>
      </c>
      <c r="W145">
        <v>0</v>
      </c>
      <c r="X145">
        <v>0</v>
      </c>
      <c r="Y145">
        <v>0</v>
      </c>
      <c r="Z145">
        <v>0</v>
      </c>
      <c r="AA145">
        <v>0.1</v>
      </c>
      <c r="AB145" s="2" t="s">
        <v>374</v>
      </c>
      <c r="AC145">
        <v>0</v>
      </c>
      <c r="AD145">
        <v>0</v>
      </c>
      <c r="AE145">
        <v>300</v>
      </c>
      <c r="AF145">
        <v>10</v>
      </c>
      <c r="AG145">
        <v>0</v>
      </c>
      <c r="AH145">
        <v>0</v>
      </c>
      <c r="AI145">
        <v>0</v>
      </c>
      <c r="AJ145">
        <v>0</v>
      </c>
      <c r="AO145">
        <v>5</v>
      </c>
      <c r="AQ145">
        <v>1</v>
      </c>
      <c r="AT145" s="5" t="str">
        <f t="shared" si="24"/>
        <v>Blank</v>
      </c>
      <c r="AU145" s="5" t="str">
        <f t="shared" si="25"/>
        <v>Blank</v>
      </c>
      <c r="AV145" s="5" t="str">
        <f t="shared" si="26"/>
        <v/>
      </c>
      <c r="AY145" s="5" t="str">
        <f t="shared" si="27"/>
        <v>Blank</v>
      </c>
      <c r="AZ145" s="5" t="str">
        <f t="shared" si="28"/>
        <v>Blank</v>
      </c>
      <c r="BA145" s="5" t="str">
        <f t="shared" si="29"/>
        <v/>
      </c>
      <c r="BH145" s="5">
        <v>1</v>
      </c>
      <c r="BI145" s="5">
        <v>0.01</v>
      </c>
      <c r="BK145" s="5" t="str">
        <f t="shared" si="30"/>
        <v>Number</v>
      </c>
      <c r="BL145" s="5" t="str">
        <f t="shared" si="31"/>
        <v>Blank</v>
      </c>
      <c r="BM145" s="5" t="str">
        <f t="shared" si="32"/>
        <v>Diff</v>
      </c>
      <c r="BN145" s="5">
        <v>0.3</v>
      </c>
      <c r="BP145" s="5" t="str">
        <f t="shared" si="33"/>
        <v>Number</v>
      </c>
      <c r="BQ145" s="5" t="str">
        <f t="shared" si="34"/>
        <v>Blank</v>
      </c>
      <c r="BR145" s="5" t="str">
        <f t="shared" si="35"/>
        <v>Diff</v>
      </c>
      <c r="CA145" t="str">
        <f>IF(OR(AV145="Diff",BA145="Diff",BM145="Diff",BR145="Diff"),"Diff","")</f>
        <v>Diff</v>
      </c>
    </row>
    <row r="146" spans="1:79" hidden="1" x14ac:dyDescent="0.25">
      <c r="A146" t="s">
        <v>307</v>
      </c>
      <c r="B146" t="s">
        <v>167</v>
      </c>
      <c r="C146" t="s">
        <v>387</v>
      </c>
      <c r="D146" t="s">
        <v>409</v>
      </c>
      <c r="E146">
        <v>0</v>
      </c>
      <c r="F146">
        <v>0</v>
      </c>
      <c r="G146" t="s">
        <v>383</v>
      </c>
      <c r="H146" t="s">
        <v>384</v>
      </c>
      <c r="I146" t="s">
        <v>414</v>
      </c>
      <c r="J146" t="s">
        <v>386</v>
      </c>
      <c r="K146">
        <v>900</v>
      </c>
      <c r="L146">
        <v>600</v>
      </c>
      <c r="M146">
        <v>0</v>
      </c>
      <c r="N146">
        <v>0</v>
      </c>
      <c r="O146">
        <v>0</v>
      </c>
      <c r="P146">
        <v>0</v>
      </c>
      <c r="Q146">
        <v>1</v>
      </c>
      <c r="R146">
        <v>1</v>
      </c>
      <c r="S146">
        <v>0</v>
      </c>
      <c r="T146">
        <v>70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0.1</v>
      </c>
      <c r="AB146" s="2" t="s">
        <v>374</v>
      </c>
      <c r="AC146">
        <v>0</v>
      </c>
      <c r="AD146">
        <v>0</v>
      </c>
      <c r="AE146">
        <v>0</v>
      </c>
      <c r="AF146">
        <v>180</v>
      </c>
      <c r="AG146">
        <v>0</v>
      </c>
      <c r="AH146">
        <v>0</v>
      </c>
      <c r="AI146">
        <v>0</v>
      </c>
      <c r="AJ146">
        <v>0</v>
      </c>
      <c r="AK146" t="s">
        <v>410</v>
      </c>
      <c r="AL146" t="s">
        <v>409</v>
      </c>
      <c r="AM146">
        <v>0</v>
      </c>
      <c r="AN146">
        <v>0</v>
      </c>
      <c r="AO146">
        <v>5</v>
      </c>
      <c r="AP146"/>
      <c r="AQ146">
        <v>1</v>
      </c>
      <c r="AT146" s="5" t="str">
        <f t="shared" si="24"/>
        <v>Blank</v>
      </c>
      <c r="AU146" s="5" t="str">
        <f t="shared" si="25"/>
        <v>Blank</v>
      </c>
      <c r="AV146" s="5" t="str">
        <f t="shared" si="26"/>
        <v/>
      </c>
      <c r="AY146" s="5" t="str">
        <f t="shared" si="27"/>
        <v>Blank</v>
      </c>
      <c r="AZ146" s="5" t="str">
        <f t="shared" si="28"/>
        <v>Blank</v>
      </c>
      <c r="BA146" s="5" t="str">
        <f t="shared" si="29"/>
        <v/>
      </c>
      <c r="BK146" s="5" t="str">
        <f t="shared" si="30"/>
        <v>Blank</v>
      </c>
      <c r="BL146" s="5" t="str">
        <f t="shared" si="31"/>
        <v>Blank</v>
      </c>
      <c r="BM146" s="5" t="str">
        <f t="shared" si="32"/>
        <v/>
      </c>
      <c r="BP146" s="5" t="str">
        <f t="shared" si="33"/>
        <v>Blank</v>
      </c>
      <c r="BQ146" s="5" t="str">
        <f t="shared" si="34"/>
        <v>Blank</v>
      </c>
      <c r="BR146" s="5" t="str">
        <f t="shared" si="35"/>
        <v/>
      </c>
      <c r="CA146" t="str">
        <f>IF(OR(AV146="Diff",BA146="Diff",BM146="Diff",BR146="Diff"),"Diff","")</f>
        <v/>
      </c>
    </row>
    <row r="147" spans="1:79" hidden="1" x14ac:dyDescent="0.25">
      <c r="A147" t="s">
        <v>308</v>
      </c>
      <c r="B147" t="s">
        <v>167</v>
      </c>
      <c r="C147" t="s">
        <v>387</v>
      </c>
      <c r="D147" t="s">
        <v>419</v>
      </c>
      <c r="E147">
        <v>35</v>
      </c>
      <c r="F147">
        <v>35</v>
      </c>
      <c r="G147" t="s">
        <v>396</v>
      </c>
      <c r="H147" t="s">
        <v>400</v>
      </c>
      <c r="I147" t="s">
        <v>418</v>
      </c>
      <c r="J147" t="s">
        <v>392</v>
      </c>
      <c r="K147">
        <v>0</v>
      </c>
      <c r="L147">
        <v>0</v>
      </c>
      <c r="M147">
        <v>500</v>
      </c>
      <c r="N147">
        <v>2</v>
      </c>
      <c r="O147">
        <v>0</v>
      </c>
      <c r="P147">
        <v>0</v>
      </c>
      <c r="Q147">
        <v>10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0.1</v>
      </c>
      <c r="AB147" s="2" t="s">
        <v>374</v>
      </c>
      <c r="AC147">
        <v>1</v>
      </c>
      <c r="AD147">
        <v>0</v>
      </c>
      <c r="AE147">
        <v>0</v>
      </c>
      <c r="AF147">
        <v>180</v>
      </c>
      <c r="AG147">
        <v>0</v>
      </c>
      <c r="AH147">
        <v>0</v>
      </c>
      <c r="AI147">
        <v>0</v>
      </c>
      <c r="AJ147">
        <v>0</v>
      </c>
      <c r="AO147">
        <v>5</v>
      </c>
      <c r="AP147"/>
      <c r="AQ147">
        <v>1</v>
      </c>
      <c r="AT147" s="5" t="str">
        <f t="shared" si="24"/>
        <v>Blank</v>
      </c>
      <c r="AU147" s="5" t="str">
        <f t="shared" si="25"/>
        <v>Blank</v>
      </c>
      <c r="AV147" s="5" t="str">
        <f t="shared" si="26"/>
        <v/>
      </c>
      <c r="AY147" s="5" t="str">
        <f t="shared" si="27"/>
        <v>Blank</v>
      </c>
      <c r="AZ147" s="5" t="str">
        <f t="shared" si="28"/>
        <v>Blank</v>
      </c>
      <c r="BA147" s="5" t="str">
        <f t="shared" si="29"/>
        <v/>
      </c>
      <c r="BK147" s="5" t="str">
        <f t="shared" si="30"/>
        <v>Blank</v>
      </c>
      <c r="BL147" s="5" t="str">
        <f t="shared" si="31"/>
        <v>Blank</v>
      </c>
      <c r="BM147" s="5" t="str">
        <f t="shared" si="32"/>
        <v/>
      </c>
      <c r="BP147" s="5" t="str">
        <f t="shared" si="33"/>
        <v>Blank</v>
      </c>
      <c r="BQ147" s="5" t="str">
        <f t="shared" si="34"/>
        <v>Blank</v>
      </c>
      <c r="BR147" s="5" t="str">
        <f t="shared" si="35"/>
        <v/>
      </c>
      <c r="CA147" t="str">
        <f>IF(OR(AV147="Diff",BA147="Diff",BM147="Diff",BR147="Diff"),"Diff","")</f>
        <v/>
      </c>
    </row>
    <row r="148" spans="1:79" hidden="1" x14ac:dyDescent="0.25">
      <c r="A148" t="s">
        <v>309</v>
      </c>
      <c r="B148" t="s">
        <v>167</v>
      </c>
      <c r="C148" t="s">
        <v>387</v>
      </c>
      <c r="D148" t="s">
        <v>388</v>
      </c>
      <c r="E148">
        <v>90</v>
      </c>
      <c r="F148">
        <v>90</v>
      </c>
      <c r="G148" t="s">
        <v>396</v>
      </c>
      <c r="H148" t="s">
        <v>400</v>
      </c>
      <c r="I148" t="s">
        <v>423</v>
      </c>
      <c r="J148" t="s">
        <v>392</v>
      </c>
      <c r="K148">
        <v>0</v>
      </c>
      <c r="L148">
        <v>0</v>
      </c>
      <c r="M148">
        <v>32</v>
      </c>
      <c r="N148">
        <v>2</v>
      </c>
      <c r="O148">
        <v>0</v>
      </c>
      <c r="P148">
        <v>0</v>
      </c>
      <c r="Q148">
        <v>10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0.1</v>
      </c>
      <c r="AB148" s="2" t="s">
        <v>374</v>
      </c>
      <c r="AC148">
        <v>1</v>
      </c>
      <c r="AD148">
        <v>0</v>
      </c>
      <c r="AE148">
        <v>0</v>
      </c>
      <c r="AF148">
        <v>180</v>
      </c>
      <c r="AG148">
        <v>0</v>
      </c>
      <c r="AH148">
        <v>0</v>
      </c>
      <c r="AI148">
        <v>0</v>
      </c>
      <c r="AJ148">
        <v>0</v>
      </c>
      <c r="AO148">
        <v>5</v>
      </c>
      <c r="AP148"/>
      <c r="AQ148">
        <v>1</v>
      </c>
      <c r="AT148" s="5" t="str">
        <f t="shared" si="24"/>
        <v>Blank</v>
      </c>
      <c r="AU148" s="5" t="str">
        <f t="shared" si="25"/>
        <v>Blank</v>
      </c>
      <c r="AV148" s="5" t="str">
        <f t="shared" si="26"/>
        <v/>
      </c>
      <c r="AY148" s="5" t="str">
        <f t="shared" si="27"/>
        <v>Blank</v>
      </c>
      <c r="AZ148" s="5" t="str">
        <f t="shared" si="28"/>
        <v>Blank</v>
      </c>
      <c r="BA148" s="5" t="str">
        <f t="shared" si="29"/>
        <v/>
      </c>
      <c r="BB148" s="5">
        <v>1.08</v>
      </c>
      <c r="BD148" s="5">
        <v>1.9</v>
      </c>
      <c r="BK148" s="5" t="str">
        <f t="shared" si="30"/>
        <v>Blank</v>
      </c>
      <c r="BL148" s="5" t="str">
        <f t="shared" si="31"/>
        <v>Blank</v>
      </c>
      <c r="BM148" s="5" t="str">
        <f t="shared" si="32"/>
        <v/>
      </c>
      <c r="BP148" s="5" t="str">
        <f t="shared" si="33"/>
        <v>Blank</v>
      </c>
      <c r="BQ148" s="5" t="str">
        <f t="shared" si="34"/>
        <v>Blank</v>
      </c>
      <c r="BR148" s="5" t="str">
        <f t="shared" si="35"/>
        <v/>
      </c>
      <c r="CA148" t="str">
        <f>IF(OR(AV148="Diff",BA148="Diff",BM148="Diff",BR148="Diff"),"Diff","")</f>
        <v/>
      </c>
    </row>
    <row r="149" spans="1:79" hidden="1" x14ac:dyDescent="0.25">
      <c r="A149" t="s">
        <v>310</v>
      </c>
      <c r="B149" t="s">
        <v>167</v>
      </c>
      <c r="C149" t="s">
        <v>387</v>
      </c>
      <c r="D149" t="s">
        <v>388</v>
      </c>
      <c r="E149">
        <v>4000</v>
      </c>
      <c r="F149">
        <v>4000</v>
      </c>
      <c r="G149" t="s">
        <v>396</v>
      </c>
      <c r="H149" t="s">
        <v>397</v>
      </c>
      <c r="I149" t="s">
        <v>424</v>
      </c>
      <c r="J149" t="s">
        <v>392</v>
      </c>
      <c r="K149">
        <v>40</v>
      </c>
      <c r="L149">
        <v>2000</v>
      </c>
      <c r="M149">
        <v>0</v>
      </c>
      <c r="N149">
        <v>0</v>
      </c>
      <c r="O149">
        <v>0</v>
      </c>
      <c r="P149">
        <v>0</v>
      </c>
      <c r="Q149">
        <v>1</v>
      </c>
      <c r="R149">
        <v>1</v>
      </c>
      <c r="S149">
        <v>0</v>
      </c>
      <c r="T149">
        <v>10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0.1</v>
      </c>
      <c r="AB149" s="2" t="s">
        <v>374</v>
      </c>
      <c r="AC149">
        <v>0</v>
      </c>
      <c r="AD149">
        <v>0</v>
      </c>
      <c r="AE149">
        <v>0</v>
      </c>
      <c r="AO149">
        <v>5</v>
      </c>
      <c r="AP149"/>
      <c r="AQ149">
        <v>1</v>
      </c>
      <c r="AT149" s="5" t="str">
        <f t="shared" si="24"/>
        <v>Blank</v>
      </c>
      <c r="AU149" s="5" t="str">
        <f t="shared" si="25"/>
        <v>Blank</v>
      </c>
      <c r="AV149" s="5" t="str">
        <f t="shared" si="26"/>
        <v/>
      </c>
      <c r="AY149" s="5" t="str">
        <f t="shared" si="27"/>
        <v>Blank</v>
      </c>
      <c r="AZ149" s="5" t="str">
        <f t="shared" si="28"/>
        <v>Blank</v>
      </c>
      <c r="BA149" s="5" t="str">
        <f t="shared" si="29"/>
        <v/>
      </c>
      <c r="BH149" s="5">
        <v>1</v>
      </c>
      <c r="BK149" s="5" t="str">
        <f t="shared" si="30"/>
        <v>Blank</v>
      </c>
      <c r="BL149" s="5" t="str">
        <f t="shared" si="31"/>
        <v>Blank</v>
      </c>
      <c r="BM149" s="5" t="str">
        <f t="shared" si="32"/>
        <v/>
      </c>
      <c r="BP149" s="5" t="str">
        <f t="shared" si="33"/>
        <v>Blank</v>
      </c>
      <c r="BQ149" s="5" t="str">
        <f t="shared" si="34"/>
        <v>Blank</v>
      </c>
      <c r="BR149" s="5" t="str">
        <f t="shared" si="35"/>
        <v/>
      </c>
      <c r="CA149" t="str">
        <f>IF(OR(AV149="Diff",BA149="Diff",BM149="Diff",BR149="Diff"),"Diff","")</f>
        <v/>
      </c>
    </row>
    <row r="150" spans="1:79" x14ac:dyDescent="0.25">
      <c r="A150" t="s">
        <v>311</v>
      </c>
      <c r="B150" t="s">
        <v>167</v>
      </c>
      <c r="C150" t="s">
        <v>387</v>
      </c>
      <c r="D150" t="s">
        <v>388</v>
      </c>
      <c r="E150">
        <v>40</v>
      </c>
      <c r="F150">
        <v>40</v>
      </c>
      <c r="G150" t="s">
        <v>390</v>
      </c>
      <c r="H150" t="s">
        <v>384</v>
      </c>
      <c r="I150" t="s">
        <v>391</v>
      </c>
      <c r="J150" t="s">
        <v>392</v>
      </c>
      <c r="K150">
        <v>2200</v>
      </c>
      <c r="L150" s="2">
        <v>2950</v>
      </c>
      <c r="M150">
        <v>0</v>
      </c>
      <c r="N150">
        <v>0</v>
      </c>
      <c r="O150">
        <v>0</v>
      </c>
      <c r="P150">
        <v>0</v>
      </c>
      <c r="Q150">
        <v>1</v>
      </c>
      <c r="R150">
        <v>1</v>
      </c>
      <c r="S150">
        <v>1</v>
      </c>
      <c r="T150">
        <v>5</v>
      </c>
      <c r="U150">
        <v>0</v>
      </c>
      <c r="V150">
        <v>0</v>
      </c>
      <c r="W150">
        <v>1</v>
      </c>
      <c r="X150">
        <v>0</v>
      </c>
      <c r="Y150">
        <v>60</v>
      </c>
      <c r="Z150">
        <v>60</v>
      </c>
      <c r="AA150">
        <v>0.1</v>
      </c>
      <c r="AB150" s="2" t="s">
        <v>374</v>
      </c>
      <c r="AC150">
        <v>1</v>
      </c>
      <c r="AD150">
        <v>0</v>
      </c>
      <c r="AE150">
        <v>0</v>
      </c>
      <c r="AF150" s="2">
        <v>5</v>
      </c>
      <c r="AG150">
        <v>-180</v>
      </c>
      <c r="AH150">
        <v>180</v>
      </c>
      <c r="AI150" s="2">
        <v>-12</v>
      </c>
      <c r="AJ150" s="2">
        <v>12</v>
      </c>
      <c r="AO150">
        <v>5</v>
      </c>
      <c r="AQ150">
        <v>1</v>
      </c>
      <c r="AS150" s="5">
        <v>2.25</v>
      </c>
      <c r="AT150" s="5" t="str">
        <f t="shared" si="24"/>
        <v>Blank</v>
      </c>
      <c r="AU150" s="5" t="str">
        <f t="shared" si="25"/>
        <v>Number</v>
      </c>
      <c r="AV150" s="5" t="str">
        <f t="shared" si="26"/>
        <v>Diff</v>
      </c>
      <c r="AW150" s="5">
        <v>1.03</v>
      </c>
      <c r="AX150" s="5">
        <v>2.0499999999999998</v>
      </c>
      <c r="AY150" s="5" t="str">
        <f t="shared" si="27"/>
        <v>Number</v>
      </c>
      <c r="AZ150" s="5" t="str">
        <f t="shared" si="28"/>
        <v>Number</v>
      </c>
      <c r="BA150" s="5" t="str">
        <f t="shared" si="29"/>
        <v>Diff</v>
      </c>
      <c r="BE150" s="5">
        <v>0.25</v>
      </c>
      <c r="BH150" s="5">
        <v>1</v>
      </c>
      <c r="BI150" s="5">
        <v>0.16</v>
      </c>
      <c r="BJ150" s="5">
        <v>0.35</v>
      </c>
      <c r="BK150" s="5" t="str">
        <f t="shared" si="30"/>
        <v>Number</v>
      </c>
      <c r="BL150" s="5" t="str">
        <f t="shared" si="31"/>
        <v>Number</v>
      </c>
      <c r="BM150" s="5" t="str">
        <f t="shared" si="32"/>
        <v>Diff</v>
      </c>
      <c r="BN150" s="5">
        <v>0.2</v>
      </c>
      <c r="BO150" s="5">
        <v>0.3</v>
      </c>
      <c r="BP150" s="5" t="str">
        <f t="shared" si="33"/>
        <v>Number</v>
      </c>
      <c r="BQ150" s="5" t="str">
        <f t="shared" si="34"/>
        <v>Number</v>
      </c>
      <c r="BR150" s="5" t="str">
        <f t="shared" si="35"/>
        <v>Diff</v>
      </c>
      <c r="CA150" t="str">
        <f>IF(OR(AV150="Diff",BA150="Diff",BM150="Diff",BR150="Diff"),"Diff","")</f>
        <v>Diff</v>
      </c>
    </row>
  </sheetData>
  <autoFilter ref="A1:CA150">
    <filterColumn colId="78">
      <customFilters>
        <customFilter operator="notEqual" val=" "/>
      </customFilters>
    </filterColumn>
  </autoFilter>
  <conditionalFormatting sqref="BM1:BM1048576 BR1:BR1048576">
    <cfRule type="cellIs" dxfId="4" priority="5" operator="equal">
      <formula>"Diff"</formula>
    </cfRule>
  </conditionalFormatting>
  <conditionalFormatting sqref="AV2:AV1048576">
    <cfRule type="cellIs" dxfId="3" priority="4" operator="equal">
      <formula>"Diff"</formula>
    </cfRule>
  </conditionalFormatting>
  <conditionalFormatting sqref="BA2:BA1048576">
    <cfRule type="cellIs" dxfId="2" priority="3" operator="equal">
      <formula>"Diff"</formula>
    </cfRule>
  </conditionalFormatting>
  <conditionalFormatting sqref="BA1">
    <cfRule type="cellIs" dxfId="1" priority="2" operator="equal">
      <formula>"Diff"</formula>
    </cfRule>
  </conditionalFormatting>
  <conditionalFormatting sqref="AV1">
    <cfRule type="cellIs" dxfId="0" priority="1" operator="equal">
      <formula>"Diff"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BM291"/>
  <sheetViews>
    <sheetView zoomScale="115" zoomScaleNormal="115" workbookViewId="0">
      <pane xSplit="1" ySplit="1" topLeftCell="AW2" activePane="bottomRight" state="frozen"/>
      <selection pane="topRight" activeCell="B1" sqref="B1"/>
      <selection pane="bottomLeft" activeCell="A2" sqref="A2"/>
      <selection pane="bottomRight" activeCell="BA5" sqref="BA5"/>
    </sheetView>
  </sheetViews>
  <sheetFormatPr defaultRowHeight="15" x14ac:dyDescent="0.25"/>
  <cols>
    <col min="1" max="1" width="48.28515625" bestFit="1" customWidth="1"/>
    <col min="2" max="2" width="7.5703125" bestFit="1" customWidth="1"/>
    <col min="3" max="3" width="9.7109375" bestFit="1" customWidth="1"/>
    <col min="4" max="4" width="18" bestFit="1" customWidth="1"/>
    <col min="5" max="5" width="15" bestFit="1" customWidth="1"/>
    <col min="6" max="7" width="15.28515625" bestFit="1" customWidth="1"/>
    <col min="8" max="8" width="16.42578125" bestFit="1" customWidth="1"/>
    <col min="9" max="9" width="24.85546875" bestFit="1" customWidth="1"/>
    <col min="10" max="10" width="13.42578125" bestFit="1" customWidth="1"/>
    <col min="11" max="11" width="17" bestFit="1" customWidth="1"/>
    <col min="13" max="13" width="11.140625" bestFit="1" customWidth="1"/>
    <col min="14" max="14" width="12.140625" hidden="1" customWidth="1"/>
    <col min="15" max="15" width="16.42578125" hidden="1" customWidth="1"/>
    <col min="16" max="16" width="8.140625" hidden="1" customWidth="1"/>
    <col min="17" max="17" width="20.140625" hidden="1" customWidth="1"/>
    <col min="18" max="18" width="22.140625" hidden="1" customWidth="1"/>
    <col min="19" max="19" width="15.42578125" hidden="1" customWidth="1"/>
    <col min="20" max="20" width="9.42578125" bestFit="1" customWidth="1"/>
    <col min="21" max="21" width="11.5703125" bestFit="1" customWidth="1"/>
    <col min="22" max="22" width="10.5703125" bestFit="1" customWidth="1"/>
    <col min="23" max="23" width="19.7109375" hidden="1" customWidth="1"/>
    <col min="24" max="24" width="20.7109375" hidden="1" customWidth="1"/>
    <col min="25" max="25" width="24.28515625" bestFit="1" customWidth="1"/>
    <col min="26" max="26" width="22" bestFit="1" customWidth="1"/>
    <col min="27" max="27" width="16.140625" hidden="1" customWidth="1"/>
    <col min="28" max="28" width="11.28515625" hidden="1" customWidth="1"/>
    <col min="29" max="29" width="19.42578125" hidden="1" customWidth="1"/>
    <col min="30" max="30" width="2" hidden="1" customWidth="1"/>
    <col min="31" max="31" width="21.7109375" hidden="1" customWidth="1"/>
    <col min="32" max="32" width="8.85546875" bestFit="1" customWidth="1"/>
    <col min="33" max="33" width="12" bestFit="1" customWidth="1"/>
    <col min="34" max="34" width="13.28515625" bestFit="1" customWidth="1"/>
    <col min="35" max="35" width="13.85546875" bestFit="1" customWidth="1"/>
    <col min="36" max="36" width="11.140625" bestFit="1" customWidth="1"/>
    <col min="37" max="37" width="9.7109375" hidden="1" customWidth="1"/>
    <col min="38" max="38" width="18" hidden="1" customWidth="1"/>
    <col min="39" max="39" width="15" hidden="1" customWidth="1"/>
    <col min="40" max="40" width="15.28515625" hidden="1" customWidth="1"/>
    <col min="41" max="41" width="17.42578125" bestFit="1" customWidth="1"/>
    <col min="42" max="42" width="18.42578125" bestFit="1" customWidth="1"/>
    <col min="43" max="52" width="10.7109375" customWidth="1"/>
    <col min="53" max="53" width="15.42578125" bestFit="1" customWidth="1"/>
    <col min="54" max="65" width="10.7109375" customWidth="1"/>
  </cols>
  <sheetData>
    <row r="1" spans="1:65" s="1" customFormat="1" x14ac:dyDescent="0.25">
      <c r="A1" s="1" t="s">
        <v>199</v>
      </c>
      <c r="B1" s="1" t="s">
        <v>166</v>
      </c>
      <c r="C1" s="1" t="s">
        <v>225</v>
      </c>
      <c r="D1" s="1" t="s">
        <v>226</v>
      </c>
      <c r="E1" s="1" t="s">
        <v>227</v>
      </c>
      <c r="F1" s="1" t="s">
        <v>228</v>
      </c>
      <c r="G1" s="1" t="s">
        <v>200</v>
      </c>
      <c r="H1" s="1" t="s">
        <v>201</v>
      </c>
      <c r="I1" s="1" t="s">
        <v>440</v>
      </c>
      <c r="J1" s="1" t="s">
        <v>441</v>
      </c>
      <c r="K1" s="1" t="s">
        <v>202</v>
      </c>
      <c r="L1" s="1" t="s">
        <v>203</v>
      </c>
      <c r="M1" s="1" t="s">
        <v>204</v>
      </c>
      <c r="N1" s="1" t="s">
        <v>205</v>
      </c>
      <c r="O1" s="1" t="s">
        <v>206</v>
      </c>
      <c r="P1" s="1" t="s">
        <v>207</v>
      </c>
      <c r="Q1" s="1" t="s">
        <v>442</v>
      </c>
      <c r="R1" s="1" t="s">
        <v>443</v>
      </c>
      <c r="S1" s="1" t="s">
        <v>208</v>
      </c>
      <c r="T1" s="1" t="s">
        <v>209</v>
      </c>
      <c r="U1" s="1" t="s">
        <v>210</v>
      </c>
      <c r="V1" s="1" t="s">
        <v>211</v>
      </c>
      <c r="W1" s="1" t="s">
        <v>212</v>
      </c>
      <c r="X1" s="1" t="s">
        <v>213</v>
      </c>
      <c r="Y1" s="1" t="s">
        <v>214</v>
      </c>
      <c r="Z1" s="1" t="s">
        <v>215</v>
      </c>
      <c r="AA1" s="1" t="s">
        <v>216</v>
      </c>
      <c r="AB1" s="1" t="s">
        <v>446</v>
      </c>
      <c r="AC1" s="1" t="s">
        <v>445</v>
      </c>
      <c r="AD1" s="1" t="s">
        <v>446</v>
      </c>
      <c r="AE1" s="1" t="s">
        <v>444</v>
      </c>
      <c r="AF1" s="1" t="s">
        <v>220</v>
      </c>
      <c r="AG1" s="1" t="s">
        <v>221</v>
      </c>
      <c r="AH1" s="1" t="s">
        <v>222</v>
      </c>
      <c r="AI1" s="1" t="s">
        <v>223</v>
      </c>
      <c r="AJ1" s="1" t="s">
        <v>224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217</v>
      </c>
      <c r="AP1" s="1" t="s">
        <v>218</v>
      </c>
      <c r="AQ1" s="1" t="s">
        <v>455</v>
      </c>
      <c r="AR1" s="1" t="s">
        <v>460</v>
      </c>
      <c r="AS1" s="1" t="s">
        <v>453</v>
      </c>
      <c r="AT1" s="1" t="s">
        <v>461</v>
      </c>
      <c r="AU1" s="1" t="s">
        <v>454</v>
      </c>
      <c r="AV1" s="1" t="s">
        <v>456</v>
      </c>
      <c r="AW1" s="1" t="s">
        <v>457</v>
      </c>
      <c r="AX1" s="1" t="s">
        <v>459</v>
      </c>
      <c r="AY1" s="1" t="s">
        <v>462</v>
      </c>
      <c r="AZ1" s="1" t="s">
        <v>458</v>
      </c>
      <c r="BA1" s="1" t="s">
        <v>219</v>
      </c>
      <c r="BB1" s="1" t="s">
        <v>194</v>
      </c>
      <c r="BC1" s="1" t="s">
        <v>463</v>
      </c>
      <c r="BD1" s="1" t="s">
        <v>195</v>
      </c>
      <c r="BE1" s="1" t="s">
        <v>464</v>
      </c>
      <c r="BF1" s="1" t="s">
        <v>196</v>
      </c>
      <c r="BG1" s="1" t="s">
        <v>465</v>
      </c>
      <c r="BH1" s="1" t="s">
        <v>466</v>
      </c>
      <c r="BI1" s="1" t="s">
        <v>197</v>
      </c>
      <c r="BJ1" s="1" t="s">
        <v>198</v>
      </c>
      <c r="BK1" s="1" t="s">
        <v>467</v>
      </c>
      <c r="BL1" s="1" t="s">
        <v>468</v>
      </c>
      <c r="BM1" s="1" t="s">
        <v>469</v>
      </c>
    </row>
    <row r="2" spans="1:65" hidden="1" x14ac:dyDescent="0.25">
      <c r="A2" t="s">
        <v>229</v>
      </c>
      <c r="B2" t="s">
        <v>482</v>
      </c>
      <c r="C2" t="s">
        <v>387</v>
      </c>
      <c r="D2" t="s">
        <v>388</v>
      </c>
      <c r="E2">
        <v>135</v>
      </c>
      <c r="F2">
        <v>135</v>
      </c>
      <c r="G2" t="s">
        <v>383</v>
      </c>
      <c r="H2" t="s">
        <v>384</v>
      </c>
      <c r="I2" t="s">
        <v>385</v>
      </c>
      <c r="J2" t="s">
        <v>386</v>
      </c>
      <c r="K2">
        <v>1200</v>
      </c>
      <c r="L2">
        <v>1800</v>
      </c>
      <c r="M2">
        <v>0</v>
      </c>
      <c r="N2">
        <v>0</v>
      </c>
      <c r="O2">
        <v>0</v>
      </c>
      <c r="P2">
        <v>0</v>
      </c>
      <c r="Q2">
        <v>1</v>
      </c>
      <c r="R2">
        <v>1</v>
      </c>
      <c r="S2">
        <v>0</v>
      </c>
      <c r="T2">
        <v>2.1</v>
      </c>
      <c r="U2">
        <v>0</v>
      </c>
      <c r="V2">
        <v>0</v>
      </c>
      <c r="W2">
        <v>0</v>
      </c>
      <c r="X2">
        <v>0</v>
      </c>
      <c r="Y2">
        <v>260</v>
      </c>
      <c r="Z2">
        <v>40</v>
      </c>
      <c r="AA2">
        <v>0.1</v>
      </c>
      <c r="AB2" t="s">
        <v>451</v>
      </c>
      <c r="AC2">
        <v>0</v>
      </c>
      <c r="AD2">
        <v>0</v>
      </c>
      <c r="AE2">
        <v>0</v>
      </c>
      <c r="AF2">
        <v>10</v>
      </c>
      <c r="AG2">
        <v>0</v>
      </c>
      <c r="AH2">
        <v>0</v>
      </c>
      <c r="AI2">
        <v>0</v>
      </c>
      <c r="AJ2">
        <v>0</v>
      </c>
      <c r="AO2">
        <v>5</v>
      </c>
      <c r="AP2">
        <v>1</v>
      </c>
      <c r="AW2">
        <v>0.45</v>
      </c>
      <c r="AX2">
        <v>0.2</v>
      </c>
      <c r="AY2">
        <v>2.5</v>
      </c>
      <c r="BA2">
        <v>1</v>
      </c>
      <c r="BB2">
        <v>0.06</v>
      </c>
      <c r="BD2">
        <v>0.12</v>
      </c>
      <c r="BF2">
        <v>0.8</v>
      </c>
      <c r="BG2">
        <v>0.6</v>
      </c>
      <c r="BH2">
        <v>0.6</v>
      </c>
      <c r="BK2">
        <v>0.6</v>
      </c>
    </row>
    <row r="3" spans="1:65" x14ac:dyDescent="0.25">
      <c r="A3" t="s">
        <v>229</v>
      </c>
      <c r="B3" t="s">
        <v>167</v>
      </c>
      <c r="C3" t="s">
        <v>387</v>
      </c>
      <c r="D3" t="s">
        <v>388</v>
      </c>
      <c r="E3">
        <v>135</v>
      </c>
      <c r="F3">
        <v>135</v>
      </c>
      <c r="G3" t="s">
        <v>383</v>
      </c>
      <c r="H3" t="s">
        <v>384</v>
      </c>
      <c r="I3" t="s">
        <v>385</v>
      </c>
      <c r="J3" t="s">
        <v>386</v>
      </c>
      <c r="K3">
        <v>1200</v>
      </c>
      <c r="L3" s="2" t="s">
        <v>373</v>
      </c>
      <c r="M3">
        <v>0</v>
      </c>
      <c r="N3">
        <v>0</v>
      </c>
      <c r="O3">
        <v>0</v>
      </c>
      <c r="P3">
        <v>0</v>
      </c>
      <c r="Q3">
        <v>1</v>
      </c>
      <c r="R3">
        <v>1</v>
      </c>
      <c r="S3">
        <v>0</v>
      </c>
      <c r="T3">
        <v>2.1</v>
      </c>
      <c r="U3">
        <v>0</v>
      </c>
      <c r="V3">
        <v>0</v>
      </c>
      <c r="W3">
        <v>0</v>
      </c>
      <c r="X3">
        <v>0</v>
      </c>
      <c r="Y3">
        <v>260</v>
      </c>
      <c r="Z3">
        <v>40</v>
      </c>
      <c r="AA3">
        <v>0.1</v>
      </c>
      <c r="AB3" s="2" t="s">
        <v>374</v>
      </c>
      <c r="AC3">
        <v>0</v>
      </c>
      <c r="AD3">
        <v>0</v>
      </c>
      <c r="AE3">
        <v>0</v>
      </c>
      <c r="AF3">
        <v>10</v>
      </c>
      <c r="AG3">
        <v>0</v>
      </c>
      <c r="AH3">
        <v>0</v>
      </c>
      <c r="AI3">
        <v>0</v>
      </c>
      <c r="AJ3">
        <v>0</v>
      </c>
      <c r="AO3">
        <v>5</v>
      </c>
      <c r="AP3">
        <v>1</v>
      </c>
      <c r="AV3" s="2">
        <v>1.08</v>
      </c>
      <c r="AW3">
        <v>0.45</v>
      </c>
      <c r="AX3">
        <v>0.2</v>
      </c>
      <c r="AY3">
        <v>2.5</v>
      </c>
      <c r="BA3">
        <v>1</v>
      </c>
      <c r="BB3">
        <v>0.06</v>
      </c>
      <c r="BC3" s="2">
        <v>0.06</v>
      </c>
      <c r="BD3">
        <v>0.12</v>
      </c>
      <c r="BE3" s="2">
        <v>0.12</v>
      </c>
      <c r="BF3">
        <v>0.8</v>
      </c>
      <c r="BG3" s="2">
        <v>1</v>
      </c>
      <c r="BH3" s="2">
        <v>1</v>
      </c>
      <c r="BK3" s="2">
        <v>0.9</v>
      </c>
    </row>
    <row r="4" spans="1:65" hidden="1" x14ac:dyDescent="0.25">
      <c r="A4" t="s">
        <v>230</v>
      </c>
      <c r="B4" t="s">
        <v>482</v>
      </c>
      <c r="C4" t="s">
        <v>387</v>
      </c>
      <c r="D4" t="s">
        <v>388</v>
      </c>
      <c r="E4">
        <v>190</v>
      </c>
      <c r="F4">
        <v>190</v>
      </c>
      <c r="G4" t="s">
        <v>383</v>
      </c>
      <c r="H4" t="s">
        <v>384</v>
      </c>
      <c r="I4" t="s">
        <v>389</v>
      </c>
      <c r="J4" t="s">
        <v>386</v>
      </c>
      <c r="K4">
        <v>1200</v>
      </c>
      <c r="L4">
        <v>1800</v>
      </c>
      <c r="M4">
        <v>0</v>
      </c>
      <c r="N4">
        <v>0</v>
      </c>
      <c r="O4">
        <v>0</v>
      </c>
      <c r="P4">
        <v>0</v>
      </c>
      <c r="Q4">
        <v>1</v>
      </c>
      <c r="R4">
        <v>1</v>
      </c>
      <c r="S4">
        <v>0</v>
      </c>
      <c r="T4">
        <v>2.1</v>
      </c>
      <c r="U4">
        <v>0</v>
      </c>
      <c r="V4">
        <v>0</v>
      </c>
      <c r="W4">
        <v>0</v>
      </c>
      <c r="X4">
        <v>0</v>
      </c>
      <c r="Y4">
        <v>260</v>
      </c>
      <c r="Z4">
        <v>40</v>
      </c>
      <c r="AA4">
        <v>0.1</v>
      </c>
      <c r="AB4" t="s">
        <v>451</v>
      </c>
      <c r="AC4">
        <v>0</v>
      </c>
      <c r="AD4">
        <v>0</v>
      </c>
      <c r="AE4">
        <v>0</v>
      </c>
      <c r="AF4">
        <v>10</v>
      </c>
      <c r="AG4">
        <v>0</v>
      </c>
      <c r="AH4">
        <v>0</v>
      </c>
      <c r="AI4">
        <v>0</v>
      </c>
      <c r="AJ4">
        <v>0</v>
      </c>
      <c r="AO4">
        <v>5</v>
      </c>
      <c r="AP4">
        <v>1</v>
      </c>
      <c r="AW4">
        <v>0.45</v>
      </c>
      <c r="AX4">
        <v>0.2</v>
      </c>
      <c r="AY4">
        <v>2.5</v>
      </c>
      <c r="BA4">
        <v>0</v>
      </c>
      <c r="BL4">
        <v>1</v>
      </c>
    </row>
    <row r="5" spans="1:65" x14ac:dyDescent="0.25">
      <c r="A5" t="s">
        <v>230</v>
      </c>
      <c r="B5" t="s">
        <v>167</v>
      </c>
      <c r="C5" t="s">
        <v>387</v>
      </c>
      <c r="D5" t="s">
        <v>388</v>
      </c>
      <c r="E5">
        <v>190</v>
      </c>
      <c r="F5">
        <v>190</v>
      </c>
      <c r="G5" t="s">
        <v>383</v>
      </c>
      <c r="H5" t="s">
        <v>384</v>
      </c>
      <c r="I5" t="s">
        <v>389</v>
      </c>
      <c r="J5" t="s">
        <v>386</v>
      </c>
      <c r="K5">
        <v>1200</v>
      </c>
      <c r="L5" s="2" t="s">
        <v>373</v>
      </c>
      <c r="M5">
        <v>0</v>
      </c>
      <c r="N5">
        <v>0</v>
      </c>
      <c r="O5">
        <v>0</v>
      </c>
      <c r="P5">
        <v>0</v>
      </c>
      <c r="Q5">
        <v>1</v>
      </c>
      <c r="R5">
        <v>1</v>
      </c>
      <c r="S5">
        <v>0</v>
      </c>
      <c r="T5">
        <v>2.1</v>
      </c>
      <c r="U5">
        <v>0</v>
      </c>
      <c r="V5">
        <v>0</v>
      </c>
      <c r="W5">
        <v>0</v>
      </c>
      <c r="X5">
        <v>0</v>
      </c>
      <c r="Y5">
        <v>260</v>
      </c>
      <c r="Z5">
        <v>40</v>
      </c>
      <c r="AA5">
        <v>0.1</v>
      </c>
      <c r="AB5" s="2" t="s">
        <v>374</v>
      </c>
      <c r="AC5">
        <v>0</v>
      </c>
      <c r="AD5">
        <v>0</v>
      </c>
      <c r="AE5">
        <v>0</v>
      </c>
      <c r="AF5">
        <v>10</v>
      </c>
      <c r="AG5">
        <v>0</v>
      </c>
      <c r="AH5">
        <v>0</v>
      </c>
      <c r="AI5">
        <v>0</v>
      </c>
      <c r="AJ5">
        <v>0</v>
      </c>
      <c r="AO5">
        <v>5</v>
      </c>
      <c r="AP5">
        <v>1</v>
      </c>
      <c r="AW5">
        <v>0.45</v>
      </c>
      <c r="AX5">
        <v>0.2</v>
      </c>
      <c r="AY5">
        <v>2.5</v>
      </c>
      <c r="BA5">
        <v>0</v>
      </c>
      <c r="BL5">
        <v>1</v>
      </c>
    </row>
    <row r="6" spans="1:65" hidden="1" x14ac:dyDescent="0.25">
      <c r="A6" t="s">
        <v>231</v>
      </c>
      <c r="B6" t="s">
        <v>482</v>
      </c>
      <c r="C6" t="s">
        <v>387</v>
      </c>
      <c r="D6" t="s">
        <v>388</v>
      </c>
      <c r="E6">
        <v>650</v>
      </c>
      <c r="F6">
        <v>650</v>
      </c>
      <c r="G6" t="s">
        <v>390</v>
      </c>
      <c r="H6" t="s">
        <v>384</v>
      </c>
      <c r="I6" t="s">
        <v>391</v>
      </c>
      <c r="J6" t="s">
        <v>392</v>
      </c>
      <c r="K6">
        <v>5500</v>
      </c>
      <c r="L6">
        <v>6000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5</v>
      </c>
      <c r="U6">
        <v>0</v>
      </c>
      <c r="V6">
        <v>0</v>
      </c>
      <c r="W6">
        <v>1</v>
      </c>
      <c r="X6">
        <v>1</v>
      </c>
      <c r="Y6">
        <v>40</v>
      </c>
      <c r="Z6">
        <v>25</v>
      </c>
      <c r="AA6">
        <v>0.1</v>
      </c>
      <c r="AB6" t="s">
        <v>451</v>
      </c>
      <c r="AC6">
        <v>1</v>
      </c>
      <c r="AD6">
        <v>0</v>
      </c>
      <c r="AE6">
        <v>0</v>
      </c>
      <c r="AF6">
        <v>0</v>
      </c>
      <c r="AG6">
        <v>-160</v>
      </c>
      <c r="AH6">
        <v>160</v>
      </c>
      <c r="AI6">
        <v>0</v>
      </c>
      <c r="AJ6">
        <v>60</v>
      </c>
      <c r="AO6">
        <v>50</v>
      </c>
      <c r="AP6">
        <v>1</v>
      </c>
      <c r="AY6">
        <v>0.3</v>
      </c>
      <c r="BA6">
        <v>1</v>
      </c>
      <c r="BB6">
        <v>0.1</v>
      </c>
      <c r="BD6">
        <v>0.05</v>
      </c>
      <c r="BF6">
        <v>0.8</v>
      </c>
      <c r="BG6">
        <v>0.6</v>
      </c>
      <c r="BH6">
        <v>0.6</v>
      </c>
      <c r="BK6">
        <v>0.6</v>
      </c>
    </row>
    <row r="7" spans="1:65" x14ac:dyDescent="0.25">
      <c r="A7" t="s">
        <v>231</v>
      </c>
      <c r="B7" t="s">
        <v>167</v>
      </c>
      <c r="C7" t="s">
        <v>387</v>
      </c>
      <c r="D7" t="s">
        <v>388</v>
      </c>
      <c r="E7" s="2">
        <v>550</v>
      </c>
      <c r="F7" s="2">
        <v>550</v>
      </c>
      <c r="G7" t="s">
        <v>390</v>
      </c>
      <c r="H7" t="s">
        <v>384</v>
      </c>
      <c r="I7" t="s">
        <v>391</v>
      </c>
      <c r="J7" t="s">
        <v>392</v>
      </c>
      <c r="K7" s="2">
        <v>2000</v>
      </c>
      <c r="L7" s="2">
        <v>5000</v>
      </c>
      <c r="M7">
        <v>0</v>
      </c>
      <c r="N7">
        <v>0</v>
      </c>
      <c r="O7">
        <v>0</v>
      </c>
      <c r="P7">
        <v>0</v>
      </c>
      <c r="Q7">
        <v>1</v>
      </c>
      <c r="R7">
        <v>1</v>
      </c>
      <c r="S7">
        <v>1</v>
      </c>
      <c r="T7">
        <v>5</v>
      </c>
      <c r="U7">
        <v>0</v>
      </c>
      <c r="V7">
        <v>0</v>
      </c>
      <c r="W7">
        <v>1</v>
      </c>
      <c r="X7">
        <v>1</v>
      </c>
      <c r="Y7">
        <v>40</v>
      </c>
      <c r="Z7">
        <v>25</v>
      </c>
      <c r="AA7">
        <v>0.1</v>
      </c>
      <c r="AB7" s="2" t="s">
        <v>374</v>
      </c>
      <c r="AC7">
        <v>1</v>
      </c>
      <c r="AD7">
        <v>0</v>
      </c>
      <c r="AE7">
        <v>0</v>
      </c>
      <c r="AF7">
        <v>0</v>
      </c>
      <c r="AG7">
        <v>-160</v>
      </c>
      <c r="AH7">
        <v>160</v>
      </c>
      <c r="AI7">
        <v>0</v>
      </c>
      <c r="AJ7">
        <v>60</v>
      </c>
      <c r="AO7">
        <v>50</v>
      </c>
      <c r="AP7">
        <v>1</v>
      </c>
      <c r="AU7" s="2">
        <v>1</v>
      </c>
      <c r="AV7" s="2">
        <v>1</v>
      </c>
      <c r="AY7">
        <v>0.3</v>
      </c>
      <c r="BA7">
        <v>1</v>
      </c>
      <c r="BB7" s="2">
        <v>0.05</v>
      </c>
      <c r="BC7" s="2">
        <v>0.05</v>
      </c>
      <c r="BD7" s="2">
        <v>0.1</v>
      </c>
      <c r="BE7" s="2">
        <v>0.1</v>
      </c>
      <c r="BF7" s="2">
        <v>0.6</v>
      </c>
      <c r="BG7" s="2">
        <v>1</v>
      </c>
      <c r="BH7" s="2">
        <v>0.8</v>
      </c>
      <c r="BK7">
        <v>0.6</v>
      </c>
    </row>
    <row r="8" spans="1:65" hidden="1" x14ac:dyDescent="0.25">
      <c r="A8" t="s">
        <v>232</v>
      </c>
      <c r="B8" t="s">
        <v>482</v>
      </c>
      <c r="C8" t="s">
        <v>387</v>
      </c>
      <c r="D8" t="s">
        <v>388</v>
      </c>
      <c r="E8">
        <v>650</v>
      </c>
      <c r="F8">
        <v>650</v>
      </c>
      <c r="G8" t="s">
        <v>390</v>
      </c>
      <c r="H8" t="s">
        <v>384</v>
      </c>
      <c r="I8" t="s">
        <v>391</v>
      </c>
      <c r="J8" t="s">
        <v>392</v>
      </c>
      <c r="K8">
        <v>5500</v>
      </c>
      <c r="L8">
        <v>6000</v>
      </c>
      <c r="M8">
        <v>0</v>
      </c>
      <c r="N8">
        <v>0</v>
      </c>
      <c r="O8">
        <v>0</v>
      </c>
      <c r="P8">
        <v>0</v>
      </c>
      <c r="Q8">
        <v>1</v>
      </c>
      <c r="R8">
        <v>1</v>
      </c>
      <c r="S8">
        <v>1</v>
      </c>
      <c r="T8">
        <v>5</v>
      </c>
      <c r="U8">
        <v>0</v>
      </c>
      <c r="V8">
        <v>0</v>
      </c>
      <c r="W8">
        <v>1</v>
      </c>
      <c r="X8">
        <v>1</v>
      </c>
      <c r="Y8">
        <v>40</v>
      </c>
      <c r="Z8">
        <v>25</v>
      </c>
      <c r="AA8">
        <v>0.1</v>
      </c>
      <c r="AB8" t="s">
        <v>451</v>
      </c>
      <c r="AC8">
        <v>1</v>
      </c>
      <c r="AD8">
        <v>0</v>
      </c>
      <c r="AE8">
        <v>0</v>
      </c>
      <c r="AF8">
        <v>0</v>
      </c>
      <c r="AG8">
        <v>0</v>
      </c>
      <c r="AH8">
        <v>180</v>
      </c>
      <c r="AI8">
        <v>0</v>
      </c>
      <c r="AJ8">
        <v>60</v>
      </c>
      <c r="AO8">
        <v>50</v>
      </c>
      <c r="AP8">
        <v>1</v>
      </c>
      <c r="AY8">
        <v>0.3</v>
      </c>
      <c r="BA8">
        <v>1</v>
      </c>
      <c r="BB8">
        <v>0.1</v>
      </c>
      <c r="BD8">
        <v>0.05</v>
      </c>
      <c r="BF8">
        <v>0.8</v>
      </c>
      <c r="BG8">
        <v>0.6</v>
      </c>
      <c r="BH8">
        <v>0.6</v>
      </c>
      <c r="BK8">
        <v>0.6</v>
      </c>
    </row>
    <row r="9" spans="1:65" x14ac:dyDescent="0.25">
      <c r="A9" t="s">
        <v>232</v>
      </c>
      <c r="B9" t="s">
        <v>167</v>
      </c>
      <c r="C9" t="s">
        <v>387</v>
      </c>
      <c r="D9" t="s">
        <v>388</v>
      </c>
      <c r="E9" s="2">
        <v>550</v>
      </c>
      <c r="F9" s="2">
        <v>550</v>
      </c>
      <c r="G9" t="s">
        <v>390</v>
      </c>
      <c r="H9" t="s">
        <v>384</v>
      </c>
      <c r="I9" t="s">
        <v>391</v>
      </c>
      <c r="J9" t="s">
        <v>392</v>
      </c>
      <c r="K9" s="2">
        <v>2000</v>
      </c>
      <c r="L9" s="2">
        <v>5000</v>
      </c>
      <c r="M9">
        <v>0</v>
      </c>
      <c r="N9">
        <v>0</v>
      </c>
      <c r="O9">
        <v>0</v>
      </c>
      <c r="P9">
        <v>0</v>
      </c>
      <c r="Q9">
        <v>1</v>
      </c>
      <c r="R9">
        <v>1</v>
      </c>
      <c r="S9">
        <v>1</v>
      </c>
      <c r="T9">
        <v>5</v>
      </c>
      <c r="U9">
        <v>0</v>
      </c>
      <c r="V9">
        <v>0</v>
      </c>
      <c r="W9">
        <v>1</v>
      </c>
      <c r="X9">
        <v>1</v>
      </c>
      <c r="Y9">
        <v>40</v>
      </c>
      <c r="Z9">
        <v>25</v>
      </c>
      <c r="AA9">
        <v>0.1</v>
      </c>
      <c r="AB9" s="2" t="s">
        <v>374</v>
      </c>
      <c r="AC9">
        <v>1</v>
      </c>
      <c r="AD9">
        <v>0</v>
      </c>
      <c r="AE9">
        <v>0</v>
      </c>
      <c r="AF9">
        <v>0</v>
      </c>
      <c r="AG9" s="2">
        <v>-160</v>
      </c>
      <c r="AH9" s="2">
        <v>160</v>
      </c>
      <c r="AI9">
        <v>0</v>
      </c>
      <c r="AJ9">
        <v>60</v>
      </c>
      <c r="AO9">
        <v>50</v>
      </c>
      <c r="AP9">
        <v>1</v>
      </c>
      <c r="AU9" s="2">
        <v>1</v>
      </c>
      <c r="AV9" s="2">
        <v>1</v>
      </c>
      <c r="AY9">
        <v>0.3</v>
      </c>
      <c r="BA9">
        <v>1</v>
      </c>
      <c r="BB9" s="2">
        <v>0.05</v>
      </c>
      <c r="BC9" s="2">
        <v>0.05</v>
      </c>
      <c r="BD9" s="2">
        <v>0.1</v>
      </c>
      <c r="BE9" s="2">
        <v>0.1</v>
      </c>
      <c r="BF9" s="2">
        <v>0.6</v>
      </c>
      <c r="BG9" s="2">
        <v>1</v>
      </c>
      <c r="BH9" s="2">
        <v>0.8</v>
      </c>
      <c r="BK9">
        <v>0.6</v>
      </c>
    </row>
    <row r="10" spans="1:65" hidden="1" x14ac:dyDescent="0.25">
      <c r="A10" t="s">
        <v>233</v>
      </c>
      <c r="B10" t="s">
        <v>482</v>
      </c>
      <c r="C10" t="s">
        <v>387</v>
      </c>
      <c r="D10" t="s">
        <v>388</v>
      </c>
      <c r="E10">
        <v>650</v>
      </c>
      <c r="F10">
        <v>650</v>
      </c>
      <c r="G10" t="s">
        <v>390</v>
      </c>
      <c r="H10" t="s">
        <v>384</v>
      </c>
      <c r="I10" t="s">
        <v>391</v>
      </c>
      <c r="J10" t="s">
        <v>392</v>
      </c>
      <c r="K10">
        <v>5500</v>
      </c>
      <c r="L10">
        <v>6000</v>
      </c>
      <c r="M10">
        <v>0</v>
      </c>
      <c r="N10">
        <v>0</v>
      </c>
      <c r="O10">
        <v>0</v>
      </c>
      <c r="P10">
        <v>0</v>
      </c>
      <c r="Q10">
        <v>1</v>
      </c>
      <c r="R10">
        <v>1</v>
      </c>
      <c r="S10">
        <v>1</v>
      </c>
      <c r="T10">
        <v>5</v>
      </c>
      <c r="U10">
        <v>0</v>
      </c>
      <c r="V10">
        <v>0</v>
      </c>
      <c r="W10">
        <v>1</v>
      </c>
      <c r="X10">
        <v>1</v>
      </c>
      <c r="Y10">
        <v>40</v>
      </c>
      <c r="Z10">
        <v>25</v>
      </c>
      <c r="AA10">
        <v>0.1</v>
      </c>
      <c r="AB10" t="s">
        <v>451</v>
      </c>
      <c r="AC10">
        <v>1</v>
      </c>
      <c r="AD10">
        <v>0</v>
      </c>
      <c r="AE10">
        <v>0</v>
      </c>
      <c r="AF10">
        <v>0</v>
      </c>
      <c r="AG10">
        <v>-180</v>
      </c>
      <c r="AH10">
        <v>0</v>
      </c>
      <c r="AI10">
        <v>0</v>
      </c>
      <c r="AJ10">
        <v>60</v>
      </c>
      <c r="AO10">
        <v>50</v>
      </c>
      <c r="AP10">
        <v>1</v>
      </c>
      <c r="AY10">
        <v>0.3</v>
      </c>
      <c r="BA10">
        <v>1</v>
      </c>
      <c r="BB10">
        <v>0.1</v>
      </c>
      <c r="BD10">
        <v>0.05</v>
      </c>
      <c r="BF10">
        <v>0.8</v>
      </c>
      <c r="BG10">
        <v>0.6</v>
      </c>
      <c r="BH10">
        <v>0.6</v>
      </c>
      <c r="BK10">
        <v>0.6</v>
      </c>
    </row>
    <row r="11" spans="1:65" x14ac:dyDescent="0.25">
      <c r="A11" t="s">
        <v>233</v>
      </c>
      <c r="B11" t="s">
        <v>167</v>
      </c>
      <c r="C11" t="s">
        <v>387</v>
      </c>
      <c r="D11" t="s">
        <v>388</v>
      </c>
      <c r="E11" s="2">
        <v>550</v>
      </c>
      <c r="F11" s="2">
        <v>550</v>
      </c>
      <c r="G11" t="s">
        <v>390</v>
      </c>
      <c r="H11" t="s">
        <v>384</v>
      </c>
      <c r="I11" t="s">
        <v>391</v>
      </c>
      <c r="J11" t="s">
        <v>392</v>
      </c>
      <c r="K11" s="2">
        <v>2000</v>
      </c>
      <c r="L11" s="2">
        <v>5000</v>
      </c>
      <c r="M11">
        <v>0</v>
      </c>
      <c r="N11">
        <v>0</v>
      </c>
      <c r="O11">
        <v>0</v>
      </c>
      <c r="P11">
        <v>0</v>
      </c>
      <c r="Q11">
        <v>1</v>
      </c>
      <c r="R11">
        <v>1</v>
      </c>
      <c r="S11">
        <v>1</v>
      </c>
      <c r="T11">
        <v>5</v>
      </c>
      <c r="U11">
        <v>0</v>
      </c>
      <c r="V11">
        <v>0</v>
      </c>
      <c r="W11">
        <v>1</v>
      </c>
      <c r="X11">
        <v>1</v>
      </c>
      <c r="Y11">
        <v>40</v>
      </c>
      <c r="Z11">
        <v>25</v>
      </c>
      <c r="AA11">
        <v>0.1</v>
      </c>
      <c r="AB11" s="2" t="s">
        <v>374</v>
      </c>
      <c r="AC11">
        <v>1</v>
      </c>
      <c r="AD11">
        <v>0</v>
      </c>
      <c r="AE11">
        <v>0</v>
      </c>
      <c r="AF11">
        <v>0</v>
      </c>
      <c r="AG11" s="2">
        <v>-160</v>
      </c>
      <c r="AH11" s="2">
        <v>160</v>
      </c>
      <c r="AI11">
        <v>0</v>
      </c>
      <c r="AJ11">
        <v>60</v>
      </c>
      <c r="AO11">
        <v>50</v>
      </c>
      <c r="AP11">
        <v>1</v>
      </c>
      <c r="AU11" s="2">
        <v>1</v>
      </c>
      <c r="AV11" s="2">
        <v>1</v>
      </c>
      <c r="AY11">
        <v>0.3</v>
      </c>
      <c r="BA11">
        <v>1</v>
      </c>
      <c r="BB11" s="2">
        <v>0.05</v>
      </c>
      <c r="BC11" s="2">
        <v>0.05</v>
      </c>
      <c r="BD11" s="2">
        <v>0.1</v>
      </c>
      <c r="BE11" s="2">
        <v>0.1</v>
      </c>
      <c r="BF11" s="2">
        <v>0.6</v>
      </c>
      <c r="BG11" s="2">
        <v>1</v>
      </c>
      <c r="BH11" s="2">
        <v>0.8</v>
      </c>
      <c r="BK11">
        <v>0.6</v>
      </c>
    </row>
    <row r="12" spans="1:65" hidden="1" x14ac:dyDescent="0.25">
      <c r="A12" t="s">
        <v>234</v>
      </c>
      <c r="B12" t="s">
        <v>482</v>
      </c>
      <c r="C12" t="s">
        <v>387</v>
      </c>
      <c r="D12" t="s">
        <v>388</v>
      </c>
      <c r="E12">
        <v>15000</v>
      </c>
      <c r="F12">
        <v>15000</v>
      </c>
      <c r="G12" t="s">
        <v>390</v>
      </c>
      <c r="H12" t="s">
        <v>393</v>
      </c>
      <c r="I12" t="s">
        <v>394</v>
      </c>
      <c r="J12" t="s">
        <v>392</v>
      </c>
      <c r="K12">
        <v>0</v>
      </c>
      <c r="L12">
        <v>6000</v>
      </c>
      <c r="M12">
        <v>0</v>
      </c>
      <c r="N12">
        <v>6</v>
      </c>
      <c r="O12">
        <v>2</v>
      </c>
      <c r="P12">
        <v>0</v>
      </c>
      <c r="Q12">
        <v>20</v>
      </c>
      <c r="R12">
        <v>0</v>
      </c>
      <c r="S12">
        <v>1</v>
      </c>
      <c r="T12">
        <v>15</v>
      </c>
      <c r="U12">
        <v>0</v>
      </c>
      <c r="V12">
        <v>0</v>
      </c>
      <c r="W12">
        <v>1</v>
      </c>
      <c r="X12">
        <v>1</v>
      </c>
      <c r="Y12">
        <v>20</v>
      </c>
      <c r="Z12">
        <v>20</v>
      </c>
      <c r="AA12">
        <v>0.1</v>
      </c>
      <c r="AB12" t="s">
        <v>451</v>
      </c>
      <c r="AC12">
        <v>1</v>
      </c>
      <c r="AD12">
        <v>0</v>
      </c>
      <c r="AE12">
        <v>2000</v>
      </c>
      <c r="AF12">
        <v>20</v>
      </c>
      <c r="AG12">
        <v>-180</v>
      </c>
      <c r="AH12">
        <v>180</v>
      </c>
      <c r="AI12">
        <v>-4</v>
      </c>
      <c r="AJ12">
        <v>60</v>
      </c>
      <c r="AK12" t="s">
        <v>387</v>
      </c>
      <c r="AL12" t="s">
        <v>395</v>
      </c>
      <c r="AM12">
        <v>-100</v>
      </c>
      <c r="AN12">
        <v>-100</v>
      </c>
      <c r="AO12">
        <v>100</v>
      </c>
      <c r="AP12">
        <v>1</v>
      </c>
      <c r="AU12">
        <v>0.5</v>
      </c>
      <c r="AY12">
        <v>0.3</v>
      </c>
      <c r="BA12">
        <v>1</v>
      </c>
      <c r="BB12">
        <v>0</v>
      </c>
      <c r="BD12">
        <v>0</v>
      </c>
    </row>
    <row r="13" spans="1:65" x14ac:dyDescent="0.25">
      <c r="A13" t="s">
        <v>234</v>
      </c>
      <c r="B13" t="s">
        <v>167</v>
      </c>
      <c r="C13" t="s">
        <v>387</v>
      </c>
      <c r="D13" t="s">
        <v>388</v>
      </c>
      <c r="E13" s="2">
        <v>13500</v>
      </c>
      <c r="F13" s="2">
        <v>13500</v>
      </c>
      <c r="G13" t="s">
        <v>390</v>
      </c>
      <c r="H13" t="s">
        <v>393</v>
      </c>
      <c r="I13" t="s">
        <v>394</v>
      </c>
      <c r="J13" t="s">
        <v>392</v>
      </c>
      <c r="K13">
        <v>0</v>
      </c>
      <c r="L13">
        <v>6000</v>
      </c>
      <c r="M13">
        <v>0</v>
      </c>
      <c r="N13">
        <v>6</v>
      </c>
      <c r="O13">
        <v>2</v>
      </c>
      <c r="P13">
        <v>0</v>
      </c>
      <c r="Q13">
        <v>20</v>
      </c>
      <c r="R13">
        <v>0</v>
      </c>
      <c r="S13">
        <v>1</v>
      </c>
      <c r="T13">
        <v>15</v>
      </c>
      <c r="U13">
        <v>0</v>
      </c>
      <c r="V13">
        <v>0</v>
      </c>
      <c r="W13">
        <v>1</v>
      </c>
      <c r="X13">
        <v>1</v>
      </c>
      <c r="Y13" s="2">
        <v>15</v>
      </c>
      <c r="Z13" s="2">
        <v>15</v>
      </c>
      <c r="AA13">
        <v>0.1</v>
      </c>
      <c r="AB13" s="2" t="s">
        <v>374</v>
      </c>
      <c r="AC13">
        <v>1</v>
      </c>
      <c r="AD13">
        <v>0</v>
      </c>
      <c r="AE13">
        <v>2000</v>
      </c>
      <c r="AF13">
        <v>20</v>
      </c>
      <c r="AG13">
        <v>-180</v>
      </c>
      <c r="AH13">
        <v>180</v>
      </c>
      <c r="AI13">
        <v>-4</v>
      </c>
      <c r="AJ13">
        <v>60</v>
      </c>
      <c r="AK13" t="s">
        <v>387</v>
      </c>
      <c r="AL13" t="s">
        <v>395</v>
      </c>
      <c r="AM13" s="2">
        <v>-400</v>
      </c>
      <c r="AN13" s="2">
        <v>-400</v>
      </c>
      <c r="AO13">
        <v>100</v>
      </c>
      <c r="AP13">
        <v>1</v>
      </c>
      <c r="AU13" s="2">
        <v>1</v>
      </c>
      <c r="AV13" s="2">
        <v>1</v>
      </c>
      <c r="AY13">
        <v>0.3</v>
      </c>
      <c r="BA13">
        <v>1</v>
      </c>
      <c r="BB13">
        <v>0</v>
      </c>
      <c r="BC13">
        <v>0</v>
      </c>
      <c r="BD13">
        <v>0</v>
      </c>
      <c r="BE13">
        <v>0</v>
      </c>
      <c r="BF13" s="2">
        <v>1</v>
      </c>
      <c r="BG13" s="2">
        <v>1</v>
      </c>
      <c r="BH13" s="2">
        <v>1</v>
      </c>
    </row>
    <row r="14" spans="1:65" hidden="1" x14ac:dyDescent="0.25">
      <c r="A14" t="s">
        <v>235</v>
      </c>
      <c r="B14" t="s">
        <v>482</v>
      </c>
      <c r="C14" t="s">
        <v>387</v>
      </c>
      <c r="D14" t="s">
        <v>388</v>
      </c>
      <c r="E14">
        <v>1520</v>
      </c>
      <c r="F14">
        <v>1520</v>
      </c>
      <c r="G14" t="s">
        <v>396</v>
      </c>
      <c r="H14" t="s">
        <v>397</v>
      </c>
      <c r="I14" t="s">
        <v>398</v>
      </c>
      <c r="J14" t="s">
        <v>386</v>
      </c>
      <c r="K14">
        <v>120</v>
      </c>
      <c r="L14">
        <v>4500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1</v>
      </c>
      <c r="T14">
        <v>15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0.1</v>
      </c>
      <c r="AB14" t="s">
        <v>451</v>
      </c>
      <c r="AC14">
        <v>0</v>
      </c>
      <c r="AD14">
        <v>0</v>
      </c>
      <c r="AE14">
        <v>0</v>
      </c>
      <c r="AF14">
        <v>179</v>
      </c>
      <c r="AG14">
        <v>0</v>
      </c>
      <c r="AH14">
        <v>0</v>
      </c>
      <c r="AI14">
        <v>0</v>
      </c>
      <c r="AJ14">
        <v>0</v>
      </c>
      <c r="AO14">
        <v>30</v>
      </c>
      <c r="AP14">
        <v>1</v>
      </c>
      <c r="BA14">
        <v>1</v>
      </c>
      <c r="BB14">
        <v>0</v>
      </c>
      <c r="BD14">
        <v>0</v>
      </c>
    </row>
    <row r="15" spans="1:65" x14ac:dyDescent="0.25">
      <c r="A15" t="s">
        <v>235</v>
      </c>
      <c r="B15" t="s">
        <v>167</v>
      </c>
      <c r="C15" t="s">
        <v>387</v>
      </c>
      <c r="D15" t="s">
        <v>388</v>
      </c>
      <c r="E15" s="2">
        <v>1550</v>
      </c>
      <c r="F15" s="2">
        <v>1550</v>
      </c>
      <c r="G15" t="s">
        <v>396</v>
      </c>
      <c r="H15" t="s">
        <v>397</v>
      </c>
      <c r="I15" t="s">
        <v>398</v>
      </c>
      <c r="J15" t="s">
        <v>386</v>
      </c>
      <c r="K15">
        <v>120</v>
      </c>
      <c r="L15">
        <v>4500</v>
      </c>
      <c r="M15">
        <v>0</v>
      </c>
      <c r="N15">
        <v>0</v>
      </c>
      <c r="O15">
        <v>0</v>
      </c>
      <c r="P15">
        <v>0</v>
      </c>
      <c r="Q15">
        <v>1</v>
      </c>
      <c r="R15">
        <v>0</v>
      </c>
      <c r="S15">
        <v>1</v>
      </c>
      <c r="T15">
        <v>15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0.1</v>
      </c>
      <c r="AB15" s="2" t="s">
        <v>374</v>
      </c>
      <c r="AC15">
        <v>0</v>
      </c>
      <c r="AD15">
        <v>0</v>
      </c>
      <c r="AE15">
        <v>0</v>
      </c>
      <c r="AF15">
        <v>179</v>
      </c>
      <c r="AG15">
        <v>0</v>
      </c>
      <c r="AH15">
        <v>0</v>
      </c>
      <c r="AI15">
        <v>0</v>
      </c>
      <c r="AJ15">
        <v>0</v>
      </c>
      <c r="AO15">
        <v>30</v>
      </c>
      <c r="AP15">
        <v>1</v>
      </c>
      <c r="AU15" s="2">
        <v>0.98099999999999998</v>
      </c>
      <c r="AV15" s="2">
        <v>1</v>
      </c>
      <c r="BA15">
        <v>1</v>
      </c>
      <c r="BB15">
        <v>0</v>
      </c>
      <c r="BC15">
        <v>0</v>
      </c>
      <c r="BD15">
        <v>0</v>
      </c>
      <c r="BE15">
        <v>0</v>
      </c>
    </row>
    <row r="16" spans="1:65" hidden="1" x14ac:dyDescent="0.25">
      <c r="A16" t="s">
        <v>236</v>
      </c>
      <c r="B16" t="s">
        <v>482</v>
      </c>
      <c r="C16" t="s">
        <v>387</v>
      </c>
      <c r="D16" t="s">
        <v>388</v>
      </c>
      <c r="E16">
        <v>135</v>
      </c>
      <c r="F16">
        <v>135</v>
      </c>
      <c r="G16" t="s">
        <v>383</v>
      </c>
      <c r="H16" t="s">
        <v>384</v>
      </c>
      <c r="I16" t="s">
        <v>385</v>
      </c>
      <c r="J16" t="s">
        <v>399</v>
      </c>
      <c r="K16">
        <v>1200</v>
      </c>
      <c r="L16">
        <v>1800</v>
      </c>
      <c r="M16">
        <v>0</v>
      </c>
      <c r="N16">
        <v>0</v>
      </c>
      <c r="O16">
        <v>0</v>
      </c>
      <c r="P16">
        <v>0</v>
      </c>
      <c r="Q16">
        <v>1</v>
      </c>
      <c r="R16">
        <v>1</v>
      </c>
      <c r="S16">
        <v>0</v>
      </c>
      <c r="T16">
        <v>2.1</v>
      </c>
      <c r="U16">
        <v>0</v>
      </c>
      <c r="V16">
        <v>0</v>
      </c>
      <c r="W16">
        <v>0</v>
      </c>
      <c r="X16">
        <v>0</v>
      </c>
      <c r="Y16">
        <v>260</v>
      </c>
      <c r="Z16">
        <v>40</v>
      </c>
      <c r="AA16">
        <v>0.1</v>
      </c>
      <c r="AB16" t="s">
        <v>451</v>
      </c>
      <c r="AC16">
        <v>0</v>
      </c>
      <c r="AD16">
        <v>0</v>
      </c>
      <c r="AE16">
        <v>0</v>
      </c>
      <c r="AF16">
        <v>10</v>
      </c>
      <c r="AG16">
        <v>0</v>
      </c>
      <c r="AH16">
        <v>0</v>
      </c>
      <c r="AI16">
        <v>0</v>
      </c>
      <c r="AJ16">
        <v>0</v>
      </c>
      <c r="AO16">
        <v>5</v>
      </c>
      <c r="AP16">
        <v>1</v>
      </c>
      <c r="AW16">
        <v>0.45</v>
      </c>
      <c r="AX16">
        <v>0.2</v>
      </c>
      <c r="AY16">
        <v>2.5</v>
      </c>
      <c r="BA16">
        <v>1</v>
      </c>
      <c r="BB16">
        <v>0.06</v>
      </c>
      <c r="BD16">
        <v>0.12</v>
      </c>
      <c r="BF16">
        <v>0.8</v>
      </c>
      <c r="BG16">
        <v>0.6</v>
      </c>
      <c r="BH16">
        <v>0.6</v>
      </c>
      <c r="BK16">
        <v>0.6</v>
      </c>
    </row>
    <row r="17" spans="1:64" x14ac:dyDescent="0.25">
      <c r="A17" t="s">
        <v>236</v>
      </c>
      <c r="B17" t="s">
        <v>167</v>
      </c>
      <c r="C17" t="s">
        <v>387</v>
      </c>
      <c r="D17" t="s">
        <v>388</v>
      </c>
      <c r="E17">
        <v>135</v>
      </c>
      <c r="F17">
        <v>135</v>
      </c>
      <c r="G17" t="s">
        <v>383</v>
      </c>
      <c r="H17" t="s">
        <v>384</v>
      </c>
      <c r="I17" t="s">
        <v>385</v>
      </c>
      <c r="J17" t="s">
        <v>399</v>
      </c>
      <c r="K17">
        <v>1200</v>
      </c>
      <c r="L17" s="2">
        <v>2000</v>
      </c>
      <c r="M17">
        <v>0</v>
      </c>
      <c r="N17">
        <v>0</v>
      </c>
      <c r="O17">
        <v>0</v>
      </c>
      <c r="P17">
        <v>0</v>
      </c>
      <c r="Q17">
        <v>1</v>
      </c>
      <c r="R17">
        <v>1</v>
      </c>
      <c r="S17">
        <v>0</v>
      </c>
      <c r="T17">
        <v>2.1</v>
      </c>
      <c r="U17">
        <v>0</v>
      </c>
      <c r="V17">
        <v>0</v>
      </c>
      <c r="W17">
        <v>0</v>
      </c>
      <c r="X17">
        <v>0</v>
      </c>
      <c r="Y17">
        <v>260</v>
      </c>
      <c r="Z17">
        <v>40</v>
      </c>
      <c r="AA17">
        <v>0.1</v>
      </c>
      <c r="AB17" s="2" t="s">
        <v>374</v>
      </c>
      <c r="AC17">
        <v>0</v>
      </c>
      <c r="AD17">
        <v>0</v>
      </c>
      <c r="AE17">
        <v>0</v>
      </c>
      <c r="AF17">
        <v>10</v>
      </c>
      <c r="AG17">
        <v>0</v>
      </c>
      <c r="AH17">
        <v>0</v>
      </c>
      <c r="AI17">
        <v>0</v>
      </c>
      <c r="AJ17">
        <v>0</v>
      </c>
      <c r="AO17">
        <v>5</v>
      </c>
      <c r="AP17">
        <v>1</v>
      </c>
      <c r="AV17" s="2">
        <v>1.08</v>
      </c>
      <c r="AW17">
        <v>0.45</v>
      </c>
      <c r="AX17">
        <v>0.2</v>
      </c>
      <c r="AY17">
        <v>2.5</v>
      </c>
      <c r="BA17">
        <v>1</v>
      </c>
      <c r="BB17">
        <v>0.06</v>
      </c>
      <c r="BC17" s="2">
        <v>0.06</v>
      </c>
      <c r="BD17">
        <v>0.12</v>
      </c>
      <c r="BE17" s="2">
        <v>0.12</v>
      </c>
      <c r="BF17" s="2">
        <v>0.88</v>
      </c>
      <c r="BG17" s="2">
        <v>1</v>
      </c>
      <c r="BH17" s="2">
        <v>1</v>
      </c>
      <c r="BK17" s="2">
        <v>0.9</v>
      </c>
    </row>
    <row r="18" spans="1:64" hidden="1" x14ac:dyDescent="0.25">
      <c r="A18" t="s">
        <v>237</v>
      </c>
      <c r="B18" t="s">
        <v>482</v>
      </c>
      <c r="C18" t="s">
        <v>387</v>
      </c>
      <c r="D18" t="s">
        <v>388</v>
      </c>
      <c r="E18">
        <v>100</v>
      </c>
      <c r="F18">
        <v>100</v>
      </c>
      <c r="G18" t="s">
        <v>396</v>
      </c>
      <c r="H18" t="s">
        <v>400</v>
      </c>
      <c r="I18" t="s">
        <v>401</v>
      </c>
      <c r="J18" t="s">
        <v>392</v>
      </c>
      <c r="K18">
        <v>0</v>
      </c>
      <c r="L18">
        <v>0</v>
      </c>
      <c r="M18">
        <v>60</v>
      </c>
      <c r="N18">
        <v>2</v>
      </c>
      <c r="O18">
        <v>0</v>
      </c>
      <c r="P18">
        <v>0</v>
      </c>
      <c r="Q18">
        <v>10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0.1</v>
      </c>
      <c r="AB18" t="s">
        <v>451</v>
      </c>
      <c r="AC18">
        <v>1</v>
      </c>
      <c r="AD18">
        <v>0</v>
      </c>
      <c r="AE18">
        <v>0</v>
      </c>
      <c r="AO18">
        <v>5</v>
      </c>
      <c r="AP18">
        <v>1</v>
      </c>
    </row>
    <row r="19" spans="1:64" x14ac:dyDescent="0.25">
      <c r="A19" t="s">
        <v>237</v>
      </c>
      <c r="B19" t="s">
        <v>167</v>
      </c>
      <c r="C19" t="s">
        <v>387</v>
      </c>
      <c r="D19" t="s">
        <v>388</v>
      </c>
      <c r="E19">
        <v>100</v>
      </c>
      <c r="F19">
        <v>100</v>
      </c>
      <c r="G19" t="s">
        <v>396</v>
      </c>
      <c r="H19" t="s">
        <v>400</v>
      </c>
      <c r="I19" t="s">
        <v>401</v>
      </c>
      <c r="J19" t="s">
        <v>392</v>
      </c>
      <c r="K19">
        <v>0</v>
      </c>
      <c r="L19">
        <v>0</v>
      </c>
      <c r="M19">
        <v>60</v>
      </c>
      <c r="N19">
        <v>2</v>
      </c>
      <c r="O19">
        <v>0</v>
      </c>
      <c r="P19">
        <v>0</v>
      </c>
      <c r="Q19">
        <v>10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0.1</v>
      </c>
      <c r="AB19" s="2" t="s">
        <v>374</v>
      </c>
      <c r="AC19">
        <v>1</v>
      </c>
      <c r="AD19">
        <v>0</v>
      </c>
      <c r="AE19">
        <v>0</v>
      </c>
      <c r="AO19">
        <v>5</v>
      </c>
      <c r="AP19">
        <v>1</v>
      </c>
      <c r="AR19" s="2">
        <v>0.6</v>
      </c>
    </row>
    <row r="20" spans="1:64" hidden="1" x14ac:dyDescent="0.25">
      <c r="A20" t="s">
        <v>238</v>
      </c>
      <c r="B20" t="s">
        <v>482</v>
      </c>
      <c r="C20" t="s">
        <v>387</v>
      </c>
      <c r="D20" t="s">
        <v>388</v>
      </c>
      <c r="E20">
        <v>380</v>
      </c>
      <c r="F20">
        <v>380</v>
      </c>
      <c r="G20" t="s">
        <v>396</v>
      </c>
      <c r="H20" t="s">
        <v>397</v>
      </c>
      <c r="I20" t="s">
        <v>402</v>
      </c>
      <c r="J20" t="s">
        <v>386</v>
      </c>
      <c r="K20">
        <v>120</v>
      </c>
      <c r="L20">
        <v>4500</v>
      </c>
      <c r="M20">
        <v>0</v>
      </c>
      <c r="N20">
        <v>0</v>
      </c>
      <c r="O20">
        <v>0</v>
      </c>
      <c r="P20">
        <v>0</v>
      </c>
      <c r="Q20">
        <v>1</v>
      </c>
      <c r="R20">
        <v>0</v>
      </c>
      <c r="S20">
        <v>1</v>
      </c>
      <c r="T20">
        <v>15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0.1</v>
      </c>
      <c r="AB20" t="s">
        <v>451</v>
      </c>
      <c r="AC20">
        <v>0</v>
      </c>
      <c r="AD20">
        <v>0</v>
      </c>
      <c r="AE20">
        <v>0</v>
      </c>
      <c r="AF20">
        <v>179</v>
      </c>
      <c r="AG20">
        <v>0</v>
      </c>
      <c r="AH20">
        <v>0</v>
      </c>
      <c r="AI20">
        <v>0</v>
      </c>
      <c r="AJ20">
        <v>0</v>
      </c>
      <c r="AO20">
        <v>5</v>
      </c>
      <c r="AP20">
        <v>0.5</v>
      </c>
      <c r="AS20">
        <v>0.8</v>
      </c>
      <c r="AX20">
        <v>0.6</v>
      </c>
      <c r="BA20">
        <v>0</v>
      </c>
      <c r="BB20">
        <v>1</v>
      </c>
      <c r="BD20">
        <v>1</v>
      </c>
    </row>
    <row r="21" spans="1:64" x14ac:dyDescent="0.25">
      <c r="A21" t="s">
        <v>238</v>
      </c>
      <c r="B21" t="s">
        <v>167</v>
      </c>
      <c r="C21" t="s">
        <v>387</v>
      </c>
      <c r="D21" t="s">
        <v>388</v>
      </c>
      <c r="E21">
        <v>380</v>
      </c>
      <c r="F21">
        <v>380</v>
      </c>
      <c r="G21" t="s">
        <v>396</v>
      </c>
      <c r="H21" t="s">
        <v>397</v>
      </c>
      <c r="I21" t="s">
        <v>402</v>
      </c>
      <c r="J21" t="s">
        <v>386</v>
      </c>
      <c r="K21">
        <v>120</v>
      </c>
      <c r="L21">
        <v>4500</v>
      </c>
      <c r="M21">
        <v>0</v>
      </c>
      <c r="N21">
        <v>0</v>
      </c>
      <c r="O21">
        <v>0</v>
      </c>
      <c r="P21">
        <v>0</v>
      </c>
      <c r="Q21">
        <v>1</v>
      </c>
      <c r="R21">
        <v>0</v>
      </c>
      <c r="S21">
        <v>1</v>
      </c>
      <c r="T21">
        <v>15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0.1</v>
      </c>
      <c r="AB21" s="2" t="s">
        <v>374</v>
      </c>
      <c r="AC21">
        <v>0</v>
      </c>
      <c r="AD21">
        <v>0</v>
      </c>
      <c r="AE21">
        <v>0</v>
      </c>
      <c r="AF21">
        <v>179</v>
      </c>
      <c r="AG21">
        <v>0</v>
      </c>
      <c r="AH21">
        <v>0</v>
      </c>
      <c r="AI21">
        <v>0</v>
      </c>
      <c r="AJ21">
        <v>0</v>
      </c>
      <c r="AO21">
        <v>5</v>
      </c>
      <c r="AP21">
        <v>0.5</v>
      </c>
      <c r="AS21">
        <v>0.8</v>
      </c>
      <c r="AT21" s="2">
        <v>0.8</v>
      </c>
      <c r="AX21">
        <v>0.6</v>
      </c>
      <c r="BA21">
        <v>0</v>
      </c>
      <c r="BB21">
        <v>1</v>
      </c>
      <c r="BC21" s="2">
        <v>1</v>
      </c>
      <c r="BD21">
        <v>1</v>
      </c>
      <c r="BE21" s="2">
        <v>1</v>
      </c>
    </row>
    <row r="22" spans="1:64" hidden="1" x14ac:dyDescent="0.25">
      <c r="A22" t="s">
        <v>239</v>
      </c>
      <c r="B22" t="s">
        <v>482</v>
      </c>
      <c r="C22" t="s">
        <v>387</v>
      </c>
      <c r="D22" t="s">
        <v>388</v>
      </c>
      <c r="E22">
        <v>100000000</v>
      </c>
      <c r="F22">
        <v>100000000</v>
      </c>
      <c r="G22" t="s">
        <v>383</v>
      </c>
      <c r="H22" t="s">
        <v>393</v>
      </c>
      <c r="I22" t="s">
        <v>403</v>
      </c>
      <c r="J22" t="s">
        <v>386</v>
      </c>
      <c r="K22">
        <v>0</v>
      </c>
      <c r="L22">
        <v>1000</v>
      </c>
      <c r="M22">
        <v>0</v>
      </c>
      <c r="N22">
        <v>20</v>
      </c>
      <c r="O22">
        <v>0</v>
      </c>
      <c r="P22">
        <v>0</v>
      </c>
      <c r="Q22">
        <v>50</v>
      </c>
      <c r="R22">
        <v>0</v>
      </c>
      <c r="S22">
        <v>0</v>
      </c>
      <c r="T22">
        <v>50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0.1</v>
      </c>
      <c r="AB22" t="s">
        <v>452</v>
      </c>
      <c r="AC22">
        <v>0</v>
      </c>
      <c r="AD22">
        <v>0</v>
      </c>
      <c r="AE22">
        <v>1000</v>
      </c>
      <c r="AF22">
        <v>15</v>
      </c>
      <c r="AG22">
        <v>0</v>
      </c>
      <c r="AH22">
        <v>0</v>
      </c>
      <c r="AI22">
        <v>0</v>
      </c>
      <c r="AJ22">
        <v>0</v>
      </c>
      <c r="AO22">
        <v>5</v>
      </c>
      <c r="AP22">
        <v>1</v>
      </c>
      <c r="BA22">
        <v>1</v>
      </c>
      <c r="BB22">
        <v>1E-3</v>
      </c>
      <c r="BD22">
        <v>5.0000000000000001E-4</v>
      </c>
    </row>
    <row r="23" spans="1:64" x14ac:dyDescent="0.25">
      <c r="A23" t="s">
        <v>239</v>
      </c>
      <c r="B23" t="s">
        <v>167</v>
      </c>
      <c r="C23" t="s">
        <v>387</v>
      </c>
      <c r="D23" t="s">
        <v>388</v>
      </c>
      <c r="E23">
        <v>100000000</v>
      </c>
      <c r="F23">
        <v>100000000</v>
      </c>
      <c r="G23" t="s">
        <v>383</v>
      </c>
      <c r="H23" t="s">
        <v>393</v>
      </c>
      <c r="I23" t="s">
        <v>403</v>
      </c>
      <c r="J23" t="s">
        <v>386</v>
      </c>
      <c r="K23">
        <v>0</v>
      </c>
      <c r="L23">
        <v>1000</v>
      </c>
      <c r="M23">
        <v>0</v>
      </c>
      <c r="N23">
        <v>20</v>
      </c>
      <c r="O23">
        <v>0</v>
      </c>
      <c r="P23">
        <v>0</v>
      </c>
      <c r="Q23">
        <v>50</v>
      </c>
      <c r="R23">
        <v>0</v>
      </c>
      <c r="S23">
        <v>0</v>
      </c>
      <c r="T23">
        <v>50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0.1</v>
      </c>
      <c r="AB23" s="2" t="s">
        <v>375</v>
      </c>
      <c r="AC23">
        <v>0</v>
      </c>
      <c r="AD23">
        <v>0</v>
      </c>
      <c r="AE23">
        <v>1000</v>
      </c>
      <c r="AF23">
        <v>15</v>
      </c>
      <c r="AG23">
        <v>0</v>
      </c>
      <c r="AH23">
        <v>0</v>
      </c>
      <c r="AI23">
        <v>0</v>
      </c>
      <c r="AJ23">
        <v>0</v>
      </c>
      <c r="AO23">
        <v>5</v>
      </c>
      <c r="AP23">
        <v>1</v>
      </c>
      <c r="BA23">
        <v>1</v>
      </c>
      <c r="BB23">
        <v>1E-3</v>
      </c>
      <c r="BD23">
        <v>5.0000000000000001E-4</v>
      </c>
    </row>
    <row r="24" spans="1:64" hidden="1" x14ac:dyDescent="0.25">
      <c r="A24" t="s">
        <v>240</v>
      </c>
      <c r="B24" t="s">
        <v>482</v>
      </c>
      <c r="C24" t="s">
        <v>387</v>
      </c>
      <c r="D24" t="s">
        <v>388</v>
      </c>
      <c r="E24">
        <v>3000</v>
      </c>
      <c r="F24">
        <v>3000</v>
      </c>
      <c r="G24" t="s">
        <v>396</v>
      </c>
      <c r="H24" t="s">
        <v>397</v>
      </c>
      <c r="I24" t="s">
        <v>398</v>
      </c>
      <c r="J24" t="s">
        <v>399</v>
      </c>
      <c r="K24">
        <v>120</v>
      </c>
      <c r="L24">
        <v>4500</v>
      </c>
      <c r="M24">
        <v>0</v>
      </c>
      <c r="N24">
        <v>0</v>
      </c>
      <c r="O24">
        <v>0</v>
      </c>
      <c r="P24">
        <v>0</v>
      </c>
      <c r="Q24">
        <v>1</v>
      </c>
      <c r="R24">
        <v>0</v>
      </c>
      <c r="S24">
        <v>1</v>
      </c>
      <c r="T24">
        <v>16</v>
      </c>
      <c r="U24">
        <v>0</v>
      </c>
      <c r="V24">
        <v>0</v>
      </c>
      <c r="W24">
        <v>1</v>
      </c>
      <c r="X24">
        <v>0</v>
      </c>
      <c r="Y24">
        <v>0</v>
      </c>
      <c r="Z24">
        <v>0</v>
      </c>
      <c r="AA24">
        <v>0.1</v>
      </c>
      <c r="AB24" t="s">
        <v>451</v>
      </c>
      <c r="AC24">
        <v>0</v>
      </c>
      <c r="AD24">
        <v>0</v>
      </c>
      <c r="AE24">
        <v>0</v>
      </c>
      <c r="AF24">
        <v>179</v>
      </c>
      <c r="AG24">
        <v>0</v>
      </c>
      <c r="AH24">
        <v>0</v>
      </c>
      <c r="AI24">
        <v>0</v>
      </c>
      <c r="AJ24">
        <v>0</v>
      </c>
      <c r="AO24">
        <v>5</v>
      </c>
      <c r="AP24">
        <v>0.5</v>
      </c>
      <c r="AX24">
        <v>0.6</v>
      </c>
      <c r="BA24">
        <v>1</v>
      </c>
      <c r="BB24">
        <v>0</v>
      </c>
      <c r="BD24">
        <v>0</v>
      </c>
    </row>
    <row r="25" spans="1:64" x14ac:dyDescent="0.25">
      <c r="A25" t="s">
        <v>240</v>
      </c>
      <c r="B25" t="s">
        <v>167</v>
      </c>
      <c r="C25" t="s">
        <v>387</v>
      </c>
      <c r="D25" t="s">
        <v>388</v>
      </c>
      <c r="E25">
        <v>3000</v>
      </c>
      <c r="F25">
        <v>3000</v>
      </c>
      <c r="G25" t="s">
        <v>396</v>
      </c>
      <c r="H25" t="s">
        <v>397</v>
      </c>
      <c r="I25" t="s">
        <v>398</v>
      </c>
      <c r="J25" t="s">
        <v>399</v>
      </c>
      <c r="K25">
        <v>120</v>
      </c>
      <c r="L25">
        <v>4500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1</v>
      </c>
      <c r="T25">
        <v>16</v>
      </c>
      <c r="U25">
        <v>0</v>
      </c>
      <c r="V25">
        <v>0</v>
      </c>
      <c r="W25">
        <v>1</v>
      </c>
      <c r="X25">
        <v>0</v>
      </c>
      <c r="Y25">
        <v>0</v>
      </c>
      <c r="Z25">
        <v>0</v>
      </c>
      <c r="AA25">
        <v>0.1</v>
      </c>
      <c r="AB25" s="2" t="s">
        <v>374</v>
      </c>
      <c r="AC25">
        <v>0</v>
      </c>
      <c r="AD25">
        <v>0</v>
      </c>
      <c r="AE25">
        <v>0</v>
      </c>
      <c r="AF25">
        <v>179</v>
      </c>
      <c r="AG25">
        <v>0</v>
      </c>
      <c r="AH25">
        <v>0</v>
      </c>
      <c r="AI25">
        <v>0</v>
      </c>
      <c r="AJ25">
        <v>0</v>
      </c>
      <c r="AO25" s="2">
        <v>20</v>
      </c>
      <c r="AP25">
        <v>0.5</v>
      </c>
      <c r="AX25">
        <v>0.6</v>
      </c>
      <c r="BA25">
        <v>1</v>
      </c>
      <c r="BB25">
        <v>0</v>
      </c>
      <c r="BC25">
        <v>0</v>
      </c>
      <c r="BD25">
        <v>0</v>
      </c>
      <c r="BE25">
        <v>0</v>
      </c>
    </row>
    <row r="26" spans="1:64" hidden="1" x14ac:dyDescent="0.25">
      <c r="A26" t="s">
        <v>241</v>
      </c>
      <c r="B26" t="s">
        <v>482</v>
      </c>
      <c r="C26" t="s">
        <v>387</v>
      </c>
      <c r="D26" t="s">
        <v>388</v>
      </c>
      <c r="E26">
        <v>150</v>
      </c>
      <c r="F26">
        <v>150</v>
      </c>
      <c r="G26" t="s">
        <v>383</v>
      </c>
      <c r="H26" t="s">
        <v>384</v>
      </c>
      <c r="I26" t="s">
        <v>404</v>
      </c>
      <c r="J26" t="s">
        <v>392</v>
      </c>
      <c r="K26">
        <v>4500</v>
      </c>
      <c r="L26">
        <v>3000</v>
      </c>
      <c r="M26">
        <v>0</v>
      </c>
      <c r="N26">
        <v>0</v>
      </c>
      <c r="O26">
        <v>0</v>
      </c>
      <c r="P26">
        <v>0</v>
      </c>
      <c r="Q26">
        <v>1</v>
      </c>
      <c r="R26">
        <v>1</v>
      </c>
      <c r="S26">
        <v>1</v>
      </c>
      <c r="T26">
        <v>0.6</v>
      </c>
      <c r="U26">
        <v>1.3</v>
      </c>
      <c r="V26">
        <v>1.8</v>
      </c>
      <c r="W26">
        <v>1</v>
      </c>
      <c r="X26">
        <v>1</v>
      </c>
      <c r="Y26">
        <v>0</v>
      </c>
      <c r="Z26">
        <v>0</v>
      </c>
      <c r="AA26">
        <v>0.1</v>
      </c>
      <c r="AB26" t="s">
        <v>451</v>
      </c>
      <c r="AC26">
        <v>0</v>
      </c>
      <c r="AD26">
        <v>0</v>
      </c>
      <c r="AE26">
        <v>0</v>
      </c>
      <c r="AF26">
        <v>70</v>
      </c>
      <c r="AG26">
        <v>0</v>
      </c>
      <c r="AH26">
        <v>0</v>
      </c>
      <c r="AI26">
        <v>0</v>
      </c>
      <c r="AJ26">
        <v>0</v>
      </c>
      <c r="AO26">
        <v>0</v>
      </c>
      <c r="AP26">
        <v>0</v>
      </c>
      <c r="AQ26">
        <v>1</v>
      </c>
      <c r="AS26">
        <v>0.5</v>
      </c>
      <c r="AU26">
        <v>0.1</v>
      </c>
      <c r="AW26">
        <v>0.5</v>
      </c>
      <c r="AX26">
        <v>0.5</v>
      </c>
      <c r="BA26">
        <v>0</v>
      </c>
      <c r="BB26">
        <v>1</v>
      </c>
      <c r="BD26">
        <v>1</v>
      </c>
      <c r="BF26">
        <v>1</v>
      </c>
    </row>
    <row r="27" spans="1:64" x14ac:dyDescent="0.25">
      <c r="A27" t="s">
        <v>241</v>
      </c>
      <c r="B27" t="s">
        <v>167</v>
      </c>
      <c r="C27" t="s">
        <v>387</v>
      </c>
      <c r="D27" t="s">
        <v>388</v>
      </c>
      <c r="E27">
        <v>150</v>
      </c>
      <c r="F27">
        <v>150</v>
      </c>
      <c r="G27" t="s">
        <v>383</v>
      </c>
      <c r="H27" t="s">
        <v>384</v>
      </c>
      <c r="I27" t="s">
        <v>404</v>
      </c>
      <c r="J27" t="s">
        <v>392</v>
      </c>
      <c r="K27">
        <v>4500</v>
      </c>
      <c r="L27">
        <v>3000</v>
      </c>
      <c r="M27">
        <v>0</v>
      </c>
      <c r="N27">
        <v>0</v>
      </c>
      <c r="O27">
        <v>0</v>
      </c>
      <c r="P27">
        <v>0</v>
      </c>
      <c r="Q27">
        <v>1</v>
      </c>
      <c r="R27">
        <v>1</v>
      </c>
      <c r="S27">
        <v>1</v>
      </c>
      <c r="T27">
        <v>0.6</v>
      </c>
      <c r="U27">
        <v>1.3</v>
      </c>
      <c r="V27">
        <v>1.8</v>
      </c>
      <c r="W27">
        <v>1</v>
      </c>
      <c r="X27">
        <v>1</v>
      </c>
      <c r="Y27">
        <v>0</v>
      </c>
      <c r="Z27">
        <v>0</v>
      </c>
      <c r="AA27">
        <v>0.1</v>
      </c>
      <c r="AB27" s="2" t="s">
        <v>374</v>
      </c>
      <c r="AC27">
        <v>0</v>
      </c>
      <c r="AD27">
        <v>0</v>
      </c>
      <c r="AE27">
        <v>0</v>
      </c>
      <c r="AF27">
        <v>70</v>
      </c>
      <c r="AG27">
        <v>0</v>
      </c>
      <c r="AH27">
        <v>0</v>
      </c>
      <c r="AI27">
        <v>0</v>
      </c>
      <c r="AJ27">
        <v>0</v>
      </c>
      <c r="AO27">
        <v>0</v>
      </c>
      <c r="AP27">
        <v>0</v>
      </c>
      <c r="AQ27">
        <v>1</v>
      </c>
      <c r="AS27">
        <v>0.5</v>
      </c>
      <c r="AU27">
        <v>0.1</v>
      </c>
      <c r="AW27">
        <v>0.5</v>
      </c>
      <c r="AX27">
        <v>0.5</v>
      </c>
      <c r="BA27">
        <v>0</v>
      </c>
      <c r="BB27">
        <v>1</v>
      </c>
      <c r="BD27">
        <v>1</v>
      </c>
      <c r="BF27">
        <v>1</v>
      </c>
    </row>
    <row r="28" spans="1:64" hidden="1" x14ac:dyDescent="0.25">
      <c r="A28" t="s">
        <v>242</v>
      </c>
      <c r="B28" t="s">
        <v>482</v>
      </c>
      <c r="C28" t="s">
        <v>387</v>
      </c>
      <c r="D28" t="s">
        <v>388</v>
      </c>
      <c r="E28">
        <v>3000</v>
      </c>
      <c r="F28">
        <v>3000</v>
      </c>
      <c r="G28" t="s">
        <v>390</v>
      </c>
      <c r="H28" t="s">
        <v>384</v>
      </c>
      <c r="I28" t="s">
        <v>405</v>
      </c>
      <c r="J28" t="s">
        <v>392</v>
      </c>
      <c r="K28">
        <v>1500</v>
      </c>
      <c r="L28">
        <v>6000</v>
      </c>
      <c r="M28">
        <v>0</v>
      </c>
      <c r="N28">
        <v>0</v>
      </c>
      <c r="O28">
        <v>0</v>
      </c>
      <c r="P28">
        <v>0</v>
      </c>
      <c r="Q28">
        <v>1</v>
      </c>
      <c r="R28">
        <v>1</v>
      </c>
      <c r="S28">
        <v>1</v>
      </c>
      <c r="T28">
        <v>0.5</v>
      </c>
      <c r="U28">
        <v>2</v>
      </c>
      <c r="V28">
        <v>3</v>
      </c>
      <c r="W28">
        <v>1</v>
      </c>
      <c r="X28">
        <v>1</v>
      </c>
      <c r="Y28">
        <v>120</v>
      </c>
      <c r="Z28">
        <v>120</v>
      </c>
      <c r="AA28">
        <v>0.1</v>
      </c>
      <c r="AB28" t="s">
        <v>451</v>
      </c>
      <c r="AC28">
        <v>1</v>
      </c>
      <c r="AD28">
        <v>0</v>
      </c>
      <c r="AE28">
        <v>0</v>
      </c>
      <c r="AF28">
        <v>30</v>
      </c>
      <c r="AG28">
        <v>-170</v>
      </c>
      <c r="AH28">
        <v>170</v>
      </c>
      <c r="AI28">
        <v>-1</v>
      </c>
      <c r="AJ28">
        <v>30</v>
      </c>
      <c r="AO28">
        <v>30</v>
      </c>
      <c r="AP28">
        <v>1</v>
      </c>
      <c r="AU28">
        <v>0.7</v>
      </c>
      <c r="AV28">
        <v>0.5</v>
      </c>
      <c r="BA28">
        <v>1</v>
      </c>
      <c r="BB28">
        <v>0</v>
      </c>
      <c r="BD28">
        <v>0</v>
      </c>
      <c r="BI28">
        <v>0</v>
      </c>
      <c r="BJ28">
        <v>0</v>
      </c>
      <c r="BL28">
        <v>0</v>
      </c>
    </row>
    <row r="29" spans="1:64" x14ac:dyDescent="0.25">
      <c r="A29" t="s">
        <v>242</v>
      </c>
      <c r="B29" t="s">
        <v>167</v>
      </c>
      <c r="C29" t="s">
        <v>387</v>
      </c>
      <c r="D29" t="s">
        <v>388</v>
      </c>
      <c r="E29">
        <v>3000</v>
      </c>
      <c r="F29">
        <v>3000</v>
      </c>
      <c r="G29" t="s">
        <v>390</v>
      </c>
      <c r="H29" t="s">
        <v>384</v>
      </c>
      <c r="I29" t="s">
        <v>405</v>
      </c>
      <c r="J29" t="s">
        <v>392</v>
      </c>
      <c r="K29">
        <v>1500</v>
      </c>
      <c r="L29">
        <v>6000</v>
      </c>
      <c r="M29">
        <v>0</v>
      </c>
      <c r="N29">
        <v>0</v>
      </c>
      <c r="O29">
        <v>0</v>
      </c>
      <c r="P29">
        <v>0</v>
      </c>
      <c r="Q29">
        <v>1</v>
      </c>
      <c r="R29">
        <v>1</v>
      </c>
      <c r="S29">
        <v>1</v>
      </c>
      <c r="T29">
        <v>0.5</v>
      </c>
      <c r="U29">
        <v>2</v>
      </c>
      <c r="V29">
        <v>3</v>
      </c>
      <c r="W29">
        <v>1</v>
      </c>
      <c r="X29">
        <v>1</v>
      </c>
      <c r="Y29">
        <v>120</v>
      </c>
      <c r="Z29">
        <v>120</v>
      </c>
      <c r="AA29">
        <v>0.1</v>
      </c>
      <c r="AB29" s="2" t="s">
        <v>374</v>
      </c>
      <c r="AC29">
        <v>1</v>
      </c>
      <c r="AD29">
        <v>0</v>
      </c>
      <c r="AE29">
        <v>0</v>
      </c>
      <c r="AF29">
        <v>30</v>
      </c>
      <c r="AG29">
        <v>-170</v>
      </c>
      <c r="AH29">
        <v>170</v>
      </c>
      <c r="AI29">
        <v>-1</v>
      </c>
      <c r="AJ29">
        <v>30</v>
      </c>
      <c r="AO29">
        <v>30</v>
      </c>
      <c r="AP29">
        <v>1</v>
      </c>
      <c r="AU29">
        <v>0.7</v>
      </c>
      <c r="AV29">
        <v>0.5</v>
      </c>
      <c r="BA29">
        <v>1</v>
      </c>
      <c r="BB29">
        <v>0</v>
      </c>
      <c r="BD29">
        <v>0</v>
      </c>
      <c r="BI29">
        <v>0</v>
      </c>
      <c r="BJ29">
        <v>0</v>
      </c>
      <c r="BL29">
        <v>0</v>
      </c>
    </row>
    <row r="30" spans="1:64" hidden="1" x14ac:dyDescent="0.25">
      <c r="A30" t="s">
        <v>243</v>
      </c>
      <c r="B30" t="s">
        <v>482</v>
      </c>
      <c r="C30" t="s">
        <v>387</v>
      </c>
      <c r="D30" t="s">
        <v>388</v>
      </c>
      <c r="E30">
        <v>25000</v>
      </c>
      <c r="F30">
        <v>25000</v>
      </c>
      <c r="G30" t="s">
        <v>383</v>
      </c>
      <c r="H30" t="s">
        <v>393</v>
      </c>
      <c r="I30" t="s">
        <v>406</v>
      </c>
      <c r="J30" t="s">
        <v>392</v>
      </c>
      <c r="K30">
        <v>0</v>
      </c>
      <c r="L30">
        <v>6000</v>
      </c>
      <c r="M30">
        <v>0</v>
      </c>
      <c r="N30">
        <v>8</v>
      </c>
      <c r="O30">
        <v>4</v>
      </c>
      <c r="P30">
        <v>0</v>
      </c>
      <c r="Q30">
        <v>20</v>
      </c>
      <c r="R30">
        <v>0</v>
      </c>
      <c r="S30">
        <v>1</v>
      </c>
      <c r="T30">
        <v>10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0.1</v>
      </c>
      <c r="AB30" t="s">
        <v>452</v>
      </c>
      <c r="AC30">
        <v>1</v>
      </c>
      <c r="AD30">
        <v>0</v>
      </c>
      <c r="AE30">
        <v>1000000</v>
      </c>
      <c r="AF30">
        <v>5</v>
      </c>
      <c r="AG30">
        <v>0</v>
      </c>
      <c r="AH30">
        <v>0</v>
      </c>
      <c r="AI30">
        <v>0</v>
      </c>
      <c r="AJ30">
        <v>0</v>
      </c>
      <c r="AK30" t="s">
        <v>387</v>
      </c>
      <c r="AL30" t="s">
        <v>395</v>
      </c>
      <c r="AM30">
        <v>-100</v>
      </c>
      <c r="AN30">
        <v>-100</v>
      </c>
      <c r="AO30">
        <v>100</v>
      </c>
      <c r="AP30">
        <v>1</v>
      </c>
      <c r="AY30">
        <v>0.3</v>
      </c>
      <c r="BA30">
        <v>1</v>
      </c>
      <c r="BB30">
        <v>0</v>
      </c>
      <c r="BD30">
        <v>0</v>
      </c>
    </row>
    <row r="31" spans="1:64" x14ac:dyDescent="0.25">
      <c r="A31" t="s">
        <v>243</v>
      </c>
      <c r="B31" t="s">
        <v>167</v>
      </c>
      <c r="C31" t="s">
        <v>387</v>
      </c>
      <c r="D31" t="s">
        <v>388</v>
      </c>
      <c r="E31">
        <v>25000</v>
      </c>
      <c r="F31">
        <v>25000</v>
      </c>
      <c r="G31" t="s">
        <v>383</v>
      </c>
      <c r="H31" t="s">
        <v>393</v>
      </c>
      <c r="I31" t="s">
        <v>406</v>
      </c>
      <c r="J31" t="s">
        <v>392</v>
      </c>
      <c r="K31">
        <v>0</v>
      </c>
      <c r="L31">
        <v>6000</v>
      </c>
      <c r="M31">
        <v>0</v>
      </c>
      <c r="N31">
        <v>8</v>
      </c>
      <c r="O31">
        <v>4</v>
      </c>
      <c r="P31">
        <v>0</v>
      </c>
      <c r="Q31">
        <v>20</v>
      </c>
      <c r="R31">
        <v>0</v>
      </c>
      <c r="S31">
        <v>1</v>
      </c>
      <c r="T31">
        <v>10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0.1</v>
      </c>
      <c r="AB31" s="2" t="s">
        <v>375</v>
      </c>
      <c r="AC31">
        <v>1</v>
      </c>
      <c r="AD31">
        <v>0</v>
      </c>
      <c r="AE31">
        <v>1000000</v>
      </c>
      <c r="AF31">
        <v>5</v>
      </c>
      <c r="AG31">
        <v>0</v>
      </c>
      <c r="AH31">
        <v>0</v>
      </c>
      <c r="AI31">
        <v>0</v>
      </c>
      <c r="AJ31">
        <v>0</v>
      </c>
      <c r="AK31" t="s">
        <v>387</v>
      </c>
      <c r="AL31" t="s">
        <v>395</v>
      </c>
      <c r="AM31">
        <v>-100</v>
      </c>
      <c r="AN31">
        <v>-100</v>
      </c>
      <c r="AO31">
        <v>100</v>
      </c>
      <c r="AP31">
        <v>1</v>
      </c>
      <c r="AY31">
        <v>0.3</v>
      </c>
      <c r="BA31">
        <v>1</v>
      </c>
      <c r="BB31">
        <v>0</v>
      </c>
      <c r="BD31">
        <v>0</v>
      </c>
    </row>
    <row r="32" spans="1:64" hidden="1" x14ac:dyDescent="0.25">
      <c r="A32" t="s">
        <v>244</v>
      </c>
      <c r="B32" t="s">
        <v>482</v>
      </c>
      <c r="C32" t="s">
        <v>387</v>
      </c>
      <c r="D32" t="s">
        <v>388</v>
      </c>
      <c r="E32">
        <v>20</v>
      </c>
      <c r="F32">
        <v>20</v>
      </c>
      <c r="G32" t="s">
        <v>390</v>
      </c>
      <c r="H32" t="s">
        <v>384</v>
      </c>
      <c r="I32" t="s">
        <v>391</v>
      </c>
      <c r="J32" t="s">
        <v>392</v>
      </c>
      <c r="K32">
        <v>400</v>
      </c>
      <c r="L32">
        <v>800</v>
      </c>
      <c r="M32">
        <v>0</v>
      </c>
      <c r="N32">
        <v>0</v>
      </c>
      <c r="O32">
        <v>0</v>
      </c>
      <c r="P32">
        <v>1</v>
      </c>
      <c r="Q32">
        <v>0.2</v>
      </c>
      <c r="R32">
        <v>0.7</v>
      </c>
      <c r="S32">
        <v>0.5</v>
      </c>
      <c r="T32">
        <v>80</v>
      </c>
      <c r="U32">
        <v>40</v>
      </c>
      <c r="V32" t="s">
        <v>451</v>
      </c>
      <c r="AO32">
        <v>1</v>
      </c>
      <c r="BA32">
        <v>1</v>
      </c>
    </row>
    <row r="33" spans="1:64" x14ac:dyDescent="0.25">
      <c r="A33" t="s">
        <v>244</v>
      </c>
      <c r="B33" t="s">
        <v>167</v>
      </c>
      <c r="C33" t="s">
        <v>387</v>
      </c>
      <c r="D33" t="s">
        <v>388</v>
      </c>
      <c r="E33">
        <v>20</v>
      </c>
      <c r="F33">
        <v>20</v>
      </c>
      <c r="G33" t="s">
        <v>390</v>
      </c>
      <c r="H33" t="s">
        <v>384</v>
      </c>
      <c r="I33" t="s">
        <v>391</v>
      </c>
      <c r="J33" t="s">
        <v>392</v>
      </c>
      <c r="K33">
        <v>400</v>
      </c>
      <c r="L33">
        <v>800</v>
      </c>
      <c r="M33">
        <v>0</v>
      </c>
      <c r="N33">
        <v>0</v>
      </c>
      <c r="O33">
        <v>0</v>
      </c>
      <c r="P33">
        <v>1</v>
      </c>
      <c r="Q33">
        <v>0.2</v>
      </c>
      <c r="R33">
        <v>0.7</v>
      </c>
      <c r="S33">
        <v>0.5</v>
      </c>
      <c r="T33">
        <v>80</v>
      </c>
      <c r="U33">
        <v>40</v>
      </c>
      <c r="V33" s="2" t="s">
        <v>374</v>
      </c>
      <c r="AO33">
        <v>1</v>
      </c>
      <c r="BA33">
        <v>1</v>
      </c>
    </row>
    <row r="34" spans="1:64" hidden="1" x14ac:dyDescent="0.25">
      <c r="A34" t="s">
        <v>245</v>
      </c>
      <c r="B34" t="s">
        <v>482</v>
      </c>
      <c r="C34" t="s">
        <v>387</v>
      </c>
      <c r="D34" t="s">
        <v>388</v>
      </c>
      <c r="E34">
        <v>2200</v>
      </c>
      <c r="F34">
        <v>2200</v>
      </c>
      <c r="G34" t="s">
        <v>383</v>
      </c>
      <c r="H34" t="s">
        <v>393</v>
      </c>
      <c r="I34" t="s">
        <v>403</v>
      </c>
      <c r="J34" t="s">
        <v>392</v>
      </c>
      <c r="K34">
        <v>0</v>
      </c>
      <c r="L34">
        <v>4000</v>
      </c>
      <c r="M34">
        <v>0</v>
      </c>
      <c r="N34">
        <v>4</v>
      </c>
      <c r="O34">
        <v>2</v>
      </c>
      <c r="P34">
        <v>0</v>
      </c>
      <c r="Q34">
        <v>20</v>
      </c>
      <c r="R34">
        <v>0</v>
      </c>
      <c r="S34">
        <v>1</v>
      </c>
      <c r="T34">
        <v>7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0.1</v>
      </c>
      <c r="AB34" t="s">
        <v>451</v>
      </c>
      <c r="AC34">
        <v>0</v>
      </c>
      <c r="AD34">
        <v>0</v>
      </c>
      <c r="AE34">
        <v>1000</v>
      </c>
      <c r="AF34">
        <v>6</v>
      </c>
      <c r="AG34">
        <v>0</v>
      </c>
      <c r="AH34">
        <v>0</v>
      </c>
      <c r="AI34">
        <v>0</v>
      </c>
      <c r="AJ34">
        <v>0</v>
      </c>
      <c r="AK34" t="s">
        <v>387</v>
      </c>
      <c r="AL34" t="s">
        <v>395</v>
      </c>
      <c r="AM34">
        <v>-100</v>
      </c>
      <c r="AN34">
        <v>-100</v>
      </c>
      <c r="AO34">
        <v>30</v>
      </c>
      <c r="AP34">
        <v>1</v>
      </c>
      <c r="AX34">
        <v>0.2</v>
      </c>
      <c r="AY34">
        <v>0.3</v>
      </c>
      <c r="BA34">
        <v>1</v>
      </c>
      <c r="BB34">
        <v>0.1</v>
      </c>
      <c r="BD34">
        <v>0.08</v>
      </c>
    </row>
    <row r="35" spans="1:64" x14ac:dyDescent="0.25">
      <c r="A35" t="s">
        <v>245</v>
      </c>
      <c r="B35" t="s">
        <v>167</v>
      </c>
      <c r="C35" t="s">
        <v>387</v>
      </c>
      <c r="D35" t="s">
        <v>388</v>
      </c>
      <c r="E35">
        <v>2200</v>
      </c>
      <c r="F35">
        <v>2200</v>
      </c>
      <c r="G35" t="s">
        <v>383</v>
      </c>
      <c r="H35" t="s">
        <v>393</v>
      </c>
      <c r="I35" t="s">
        <v>403</v>
      </c>
      <c r="J35" t="s">
        <v>392</v>
      </c>
      <c r="K35">
        <v>0</v>
      </c>
      <c r="L35">
        <v>4000</v>
      </c>
      <c r="M35">
        <v>0</v>
      </c>
      <c r="N35">
        <v>4</v>
      </c>
      <c r="O35">
        <v>2</v>
      </c>
      <c r="P35">
        <v>0</v>
      </c>
      <c r="Q35">
        <v>20</v>
      </c>
      <c r="R35">
        <v>0</v>
      </c>
      <c r="S35">
        <v>1</v>
      </c>
      <c r="T35">
        <v>7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0.1</v>
      </c>
      <c r="AB35" s="2" t="s">
        <v>374</v>
      </c>
      <c r="AC35">
        <v>0</v>
      </c>
      <c r="AD35">
        <v>0</v>
      </c>
      <c r="AE35">
        <v>1000</v>
      </c>
      <c r="AF35">
        <v>6</v>
      </c>
      <c r="AG35">
        <v>0</v>
      </c>
      <c r="AH35">
        <v>0</v>
      </c>
      <c r="AI35">
        <v>0</v>
      </c>
      <c r="AJ35">
        <v>0</v>
      </c>
      <c r="AK35" t="s">
        <v>387</v>
      </c>
      <c r="AL35" t="s">
        <v>395</v>
      </c>
      <c r="AM35">
        <v>-100</v>
      </c>
      <c r="AN35">
        <v>-100</v>
      </c>
      <c r="AO35">
        <v>30</v>
      </c>
      <c r="AP35">
        <v>1</v>
      </c>
      <c r="AU35" s="2">
        <v>1</v>
      </c>
      <c r="AX35">
        <v>0.2</v>
      </c>
      <c r="AY35" s="2">
        <v>0.37</v>
      </c>
      <c r="BA35">
        <v>1</v>
      </c>
      <c r="BB35">
        <v>0.1</v>
      </c>
      <c r="BC35" s="2">
        <v>0.1</v>
      </c>
      <c r="BD35" s="2" t="s">
        <v>521</v>
      </c>
      <c r="BE35" s="2" t="s">
        <v>521</v>
      </c>
      <c r="BL35" s="2">
        <v>1</v>
      </c>
    </row>
    <row r="36" spans="1:64" hidden="1" x14ac:dyDescent="0.25">
      <c r="A36" t="s">
        <v>246</v>
      </c>
      <c r="B36" t="s">
        <v>482</v>
      </c>
      <c r="C36" t="s">
        <v>387</v>
      </c>
      <c r="D36" t="s">
        <v>388</v>
      </c>
      <c r="E36">
        <v>500</v>
      </c>
      <c r="F36">
        <v>500</v>
      </c>
      <c r="G36" t="s">
        <v>390</v>
      </c>
      <c r="H36" t="s">
        <v>393</v>
      </c>
      <c r="I36" t="s">
        <v>403</v>
      </c>
      <c r="J36" t="s">
        <v>392</v>
      </c>
      <c r="K36">
        <v>0</v>
      </c>
      <c r="L36">
        <v>6000</v>
      </c>
      <c r="M36">
        <v>0</v>
      </c>
      <c r="N36">
        <v>4</v>
      </c>
      <c r="O36">
        <v>2</v>
      </c>
      <c r="P36">
        <v>0</v>
      </c>
      <c r="Q36">
        <v>20</v>
      </c>
      <c r="R36">
        <v>0</v>
      </c>
      <c r="S36">
        <v>1</v>
      </c>
      <c r="T36">
        <v>12</v>
      </c>
      <c r="U36">
        <v>0</v>
      </c>
      <c r="V36">
        <v>0</v>
      </c>
      <c r="W36">
        <v>1</v>
      </c>
      <c r="X36">
        <v>0</v>
      </c>
      <c r="Y36">
        <v>20</v>
      </c>
      <c r="Z36">
        <v>20</v>
      </c>
      <c r="AA36">
        <v>0.1</v>
      </c>
      <c r="AB36" t="s">
        <v>451</v>
      </c>
      <c r="AC36">
        <v>1</v>
      </c>
      <c r="AD36">
        <v>0</v>
      </c>
      <c r="AE36">
        <v>1000</v>
      </c>
      <c r="AF36">
        <v>20</v>
      </c>
      <c r="AG36">
        <v>-180</v>
      </c>
      <c r="AH36">
        <v>180</v>
      </c>
      <c r="AI36">
        <v>-4</v>
      </c>
      <c r="AJ36">
        <v>60</v>
      </c>
      <c r="AO36">
        <v>30</v>
      </c>
      <c r="AP36">
        <v>1</v>
      </c>
      <c r="AQ36">
        <v>0.02</v>
      </c>
      <c r="AS36">
        <v>0.1</v>
      </c>
      <c r="AX36">
        <v>0.4</v>
      </c>
      <c r="BA36">
        <v>1</v>
      </c>
      <c r="BB36">
        <v>0.04</v>
      </c>
      <c r="BD36">
        <v>0.04</v>
      </c>
    </row>
    <row r="37" spans="1:64" x14ac:dyDescent="0.25">
      <c r="A37" t="s">
        <v>246</v>
      </c>
      <c r="B37" t="s">
        <v>167</v>
      </c>
      <c r="C37" t="s">
        <v>387</v>
      </c>
      <c r="D37" t="s">
        <v>388</v>
      </c>
      <c r="E37" s="2">
        <v>600</v>
      </c>
      <c r="F37" s="2">
        <v>600</v>
      </c>
      <c r="G37" t="s">
        <v>390</v>
      </c>
      <c r="H37" t="s">
        <v>393</v>
      </c>
      <c r="I37" t="s">
        <v>403</v>
      </c>
      <c r="J37" t="s">
        <v>392</v>
      </c>
      <c r="K37">
        <v>0</v>
      </c>
      <c r="L37">
        <v>6000</v>
      </c>
      <c r="M37">
        <v>0</v>
      </c>
      <c r="N37">
        <v>4</v>
      </c>
      <c r="O37">
        <v>2</v>
      </c>
      <c r="P37">
        <v>0</v>
      </c>
      <c r="Q37">
        <v>20</v>
      </c>
      <c r="R37">
        <v>0</v>
      </c>
      <c r="S37">
        <v>1</v>
      </c>
      <c r="T37">
        <v>12</v>
      </c>
      <c r="U37">
        <v>0</v>
      </c>
      <c r="V37">
        <v>0</v>
      </c>
      <c r="W37">
        <v>1</v>
      </c>
      <c r="X37">
        <v>0</v>
      </c>
      <c r="Y37" s="2">
        <v>40</v>
      </c>
      <c r="Z37" s="2">
        <v>40</v>
      </c>
      <c r="AA37">
        <v>0.1</v>
      </c>
      <c r="AB37" s="2" t="s">
        <v>374</v>
      </c>
      <c r="AC37">
        <v>1</v>
      </c>
      <c r="AD37">
        <v>0</v>
      </c>
      <c r="AE37">
        <v>1000</v>
      </c>
      <c r="AF37" s="2">
        <v>60</v>
      </c>
      <c r="AG37">
        <v>-180</v>
      </c>
      <c r="AH37">
        <v>180</v>
      </c>
      <c r="AI37" s="2">
        <v>-12</v>
      </c>
      <c r="AJ37" s="2">
        <v>90</v>
      </c>
      <c r="AO37">
        <v>30</v>
      </c>
      <c r="AP37">
        <v>1</v>
      </c>
      <c r="AQ37">
        <v>0.02</v>
      </c>
      <c r="AR37" s="2">
        <v>0.02</v>
      </c>
      <c r="AS37">
        <v>0.1</v>
      </c>
      <c r="AT37" s="2">
        <v>0.1</v>
      </c>
      <c r="AX37">
        <v>0.4</v>
      </c>
      <c r="BA37">
        <v>1</v>
      </c>
      <c r="BB37">
        <v>0.04</v>
      </c>
      <c r="BC37" s="2">
        <v>0.04</v>
      </c>
      <c r="BD37">
        <v>0.04</v>
      </c>
      <c r="BE37" s="2">
        <v>0.04</v>
      </c>
    </row>
    <row r="38" spans="1:64" hidden="1" x14ac:dyDescent="0.25">
      <c r="A38" t="s">
        <v>247</v>
      </c>
      <c r="B38" t="s">
        <v>482</v>
      </c>
      <c r="C38" t="s">
        <v>387</v>
      </c>
      <c r="D38" t="s">
        <v>388</v>
      </c>
      <c r="E38">
        <v>37</v>
      </c>
      <c r="F38">
        <v>37</v>
      </c>
      <c r="G38" t="s">
        <v>383</v>
      </c>
      <c r="H38" t="s">
        <v>384</v>
      </c>
      <c r="I38" t="s">
        <v>407</v>
      </c>
      <c r="J38" t="s">
        <v>392</v>
      </c>
      <c r="K38">
        <v>2200</v>
      </c>
      <c r="L38">
        <v>1600</v>
      </c>
      <c r="M38">
        <v>0</v>
      </c>
      <c r="N38">
        <v>0</v>
      </c>
      <c r="O38">
        <v>0</v>
      </c>
      <c r="P38">
        <v>0</v>
      </c>
      <c r="Q38">
        <v>1</v>
      </c>
      <c r="R38">
        <v>1</v>
      </c>
      <c r="S38">
        <v>0</v>
      </c>
      <c r="T38">
        <v>0.6</v>
      </c>
      <c r="U38">
        <v>1.3</v>
      </c>
      <c r="V38">
        <v>0.8</v>
      </c>
      <c r="W38">
        <v>0</v>
      </c>
      <c r="X38">
        <v>0</v>
      </c>
      <c r="Y38">
        <v>0</v>
      </c>
      <c r="Z38">
        <v>0</v>
      </c>
      <c r="AA38">
        <v>0.1</v>
      </c>
      <c r="AB38" t="s">
        <v>451</v>
      </c>
      <c r="AC38">
        <v>0</v>
      </c>
      <c r="AD38">
        <v>0</v>
      </c>
      <c r="AE38">
        <v>0</v>
      </c>
      <c r="AF38">
        <v>25</v>
      </c>
      <c r="AG38">
        <v>0</v>
      </c>
      <c r="AH38">
        <v>0</v>
      </c>
      <c r="AI38">
        <v>0</v>
      </c>
      <c r="AJ38">
        <v>0</v>
      </c>
      <c r="AO38">
        <v>5</v>
      </c>
      <c r="AP38">
        <v>1</v>
      </c>
      <c r="AU38">
        <v>0.7</v>
      </c>
      <c r="AX38">
        <v>0.6</v>
      </c>
      <c r="AY38">
        <v>3</v>
      </c>
      <c r="BA38">
        <v>1</v>
      </c>
      <c r="BB38">
        <v>0.13</v>
      </c>
      <c r="BD38">
        <v>0.3</v>
      </c>
      <c r="BF38">
        <v>0.6</v>
      </c>
      <c r="BG38">
        <v>0.6</v>
      </c>
      <c r="BH38">
        <v>0.6</v>
      </c>
      <c r="BK38">
        <v>0.6</v>
      </c>
    </row>
    <row r="39" spans="1:64" x14ac:dyDescent="0.25">
      <c r="A39" t="s">
        <v>247</v>
      </c>
      <c r="B39" t="s">
        <v>167</v>
      </c>
      <c r="C39" t="s">
        <v>387</v>
      </c>
      <c r="D39" t="s">
        <v>388</v>
      </c>
      <c r="E39">
        <v>37</v>
      </c>
      <c r="F39">
        <v>37</v>
      </c>
      <c r="G39" t="s">
        <v>383</v>
      </c>
      <c r="H39" t="s">
        <v>384</v>
      </c>
      <c r="I39" t="s">
        <v>407</v>
      </c>
      <c r="J39" t="s">
        <v>392</v>
      </c>
      <c r="K39">
        <v>2200</v>
      </c>
      <c r="L39" s="2">
        <v>1750</v>
      </c>
      <c r="M39">
        <v>0</v>
      </c>
      <c r="N39">
        <v>0</v>
      </c>
      <c r="O39">
        <v>0</v>
      </c>
      <c r="P39">
        <v>0</v>
      </c>
      <c r="Q39">
        <v>1</v>
      </c>
      <c r="R39">
        <v>1</v>
      </c>
      <c r="S39">
        <v>0</v>
      </c>
      <c r="T39">
        <v>0.6</v>
      </c>
      <c r="U39">
        <v>1.3</v>
      </c>
      <c r="V39">
        <v>0.8</v>
      </c>
      <c r="W39">
        <v>0</v>
      </c>
      <c r="X39">
        <v>0</v>
      </c>
      <c r="Y39">
        <v>0</v>
      </c>
      <c r="Z39">
        <v>0</v>
      </c>
      <c r="AA39">
        <v>0.1</v>
      </c>
      <c r="AB39" s="2" t="s">
        <v>374</v>
      </c>
      <c r="AC39">
        <v>0</v>
      </c>
      <c r="AD39">
        <v>0</v>
      </c>
      <c r="AE39">
        <v>0</v>
      </c>
      <c r="AF39" s="2">
        <v>23</v>
      </c>
      <c r="AG39">
        <v>0</v>
      </c>
      <c r="AH39">
        <v>0</v>
      </c>
      <c r="AI39">
        <v>0</v>
      </c>
      <c r="AJ39">
        <v>0</v>
      </c>
      <c r="AO39">
        <v>5</v>
      </c>
      <c r="AP39">
        <v>1</v>
      </c>
      <c r="AR39" s="2">
        <v>2.1</v>
      </c>
      <c r="AT39" s="2">
        <v>2</v>
      </c>
      <c r="AU39" s="2">
        <v>1.0900000000000001</v>
      </c>
      <c r="AV39" s="2">
        <v>1</v>
      </c>
      <c r="AX39">
        <v>0.6</v>
      </c>
      <c r="AY39">
        <v>3</v>
      </c>
      <c r="BA39">
        <v>1</v>
      </c>
      <c r="BB39">
        <v>0.13</v>
      </c>
      <c r="BC39" s="2">
        <v>0.26</v>
      </c>
      <c r="BD39">
        <v>0.3</v>
      </c>
      <c r="BE39" s="2">
        <v>0.5</v>
      </c>
      <c r="BF39" s="2">
        <v>0.78</v>
      </c>
      <c r="BG39" s="2">
        <v>0.7</v>
      </c>
      <c r="BH39" s="2">
        <v>0.7</v>
      </c>
      <c r="BK39">
        <v>0.6</v>
      </c>
    </row>
    <row r="40" spans="1:64" hidden="1" x14ac:dyDescent="0.25">
      <c r="A40" t="s">
        <v>248</v>
      </c>
      <c r="B40" t="s">
        <v>482</v>
      </c>
      <c r="C40" t="s">
        <v>387</v>
      </c>
      <c r="D40" t="s">
        <v>409</v>
      </c>
      <c r="E40">
        <v>0</v>
      </c>
      <c r="F40">
        <v>0</v>
      </c>
      <c r="G40" t="s">
        <v>390</v>
      </c>
      <c r="H40" t="s">
        <v>384</v>
      </c>
      <c r="I40" t="s">
        <v>408</v>
      </c>
      <c r="J40" t="s">
        <v>392</v>
      </c>
      <c r="K40">
        <v>3000</v>
      </c>
      <c r="L40">
        <v>2200</v>
      </c>
      <c r="M40">
        <v>0</v>
      </c>
      <c r="N40">
        <v>0</v>
      </c>
      <c r="O40">
        <v>0</v>
      </c>
      <c r="P40">
        <v>0</v>
      </c>
      <c r="Q40">
        <v>1</v>
      </c>
      <c r="R40">
        <v>1</v>
      </c>
      <c r="S40">
        <v>1</v>
      </c>
      <c r="T40">
        <v>8</v>
      </c>
      <c r="U40">
        <v>0</v>
      </c>
      <c r="V40">
        <v>0</v>
      </c>
      <c r="W40">
        <v>1</v>
      </c>
      <c r="X40">
        <v>0</v>
      </c>
      <c r="Y40">
        <v>120</v>
      </c>
      <c r="Z40">
        <v>120</v>
      </c>
      <c r="AA40">
        <v>0.1</v>
      </c>
      <c r="AB40" t="s">
        <v>451</v>
      </c>
      <c r="AC40">
        <v>1</v>
      </c>
      <c r="AD40">
        <v>0</v>
      </c>
      <c r="AE40">
        <v>0</v>
      </c>
      <c r="AF40">
        <v>0</v>
      </c>
      <c r="AG40">
        <v>-180</v>
      </c>
      <c r="AH40">
        <v>180</v>
      </c>
      <c r="AI40">
        <v>-10</v>
      </c>
      <c r="AJ40">
        <v>60</v>
      </c>
      <c r="AK40" t="s">
        <v>410</v>
      </c>
      <c r="AL40" t="s">
        <v>409</v>
      </c>
      <c r="AM40">
        <v>0</v>
      </c>
      <c r="AN40">
        <v>0</v>
      </c>
      <c r="AO40">
        <v>5</v>
      </c>
      <c r="AP40">
        <v>1</v>
      </c>
      <c r="BA40">
        <v>1</v>
      </c>
      <c r="BB40">
        <v>5.0000000000000001E-3</v>
      </c>
      <c r="BD40">
        <v>0.15</v>
      </c>
    </row>
    <row r="41" spans="1:64" x14ac:dyDescent="0.25">
      <c r="A41" t="s">
        <v>248</v>
      </c>
      <c r="B41" t="s">
        <v>167</v>
      </c>
      <c r="C41" t="s">
        <v>387</v>
      </c>
      <c r="D41" t="s">
        <v>409</v>
      </c>
      <c r="E41">
        <v>0</v>
      </c>
      <c r="F41">
        <v>0</v>
      </c>
      <c r="G41" t="s">
        <v>390</v>
      </c>
      <c r="H41" t="s">
        <v>384</v>
      </c>
      <c r="I41" t="s">
        <v>408</v>
      </c>
      <c r="J41" t="s">
        <v>392</v>
      </c>
      <c r="K41">
        <v>3000</v>
      </c>
      <c r="L41">
        <v>2200</v>
      </c>
      <c r="M41">
        <v>0</v>
      </c>
      <c r="N41">
        <v>0</v>
      </c>
      <c r="O41">
        <v>0</v>
      </c>
      <c r="P41">
        <v>0</v>
      </c>
      <c r="Q41">
        <v>1</v>
      </c>
      <c r="R41">
        <v>1</v>
      </c>
      <c r="S41">
        <v>1</v>
      </c>
      <c r="T41">
        <v>8</v>
      </c>
      <c r="U41">
        <v>0</v>
      </c>
      <c r="V41">
        <v>0</v>
      </c>
      <c r="W41">
        <v>1</v>
      </c>
      <c r="X41">
        <v>0</v>
      </c>
      <c r="Y41">
        <v>120</v>
      </c>
      <c r="Z41">
        <v>120</v>
      </c>
      <c r="AA41">
        <v>0.1</v>
      </c>
      <c r="AB41" s="2" t="s">
        <v>374</v>
      </c>
      <c r="AC41">
        <v>1</v>
      </c>
      <c r="AD41">
        <v>0</v>
      </c>
      <c r="AE41">
        <v>0</v>
      </c>
      <c r="AF41">
        <v>0</v>
      </c>
      <c r="AG41">
        <v>-180</v>
      </c>
      <c r="AH41">
        <v>180</v>
      </c>
      <c r="AI41">
        <v>-10</v>
      </c>
      <c r="AJ41">
        <v>60</v>
      </c>
      <c r="AK41" t="s">
        <v>410</v>
      </c>
      <c r="AL41" t="s">
        <v>409</v>
      </c>
      <c r="AM41">
        <v>0</v>
      </c>
      <c r="AN41">
        <v>0</v>
      </c>
      <c r="AO41">
        <v>5</v>
      </c>
      <c r="AP41">
        <v>1</v>
      </c>
      <c r="BA41">
        <v>1</v>
      </c>
      <c r="BB41">
        <v>5.0000000000000001E-3</v>
      </c>
      <c r="BC41" s="2">
        <v>5.0000000000000001E-3</v>
      </c>
      <c r="BD41">
        <v>0.15</v>
      </c>
      <c r="BE41" s="2">
        <v>0.15</v>
      </c>
    </row>
    <row r="42" spans="1:64" hidden="1" x14ac:dyDescent="0.25">
      <c r="A42" t="s">
        <v>249</v>
      </c>
      <c r="B42" t="s">
        <v>482</v>
      </c>
      <c r="C42" t="s">
        <v>387</v>
      </c>
      <c r="D42" t="s">
        <v>388</v>
      </c>
      <c r="E42">
        <v>535</v>
      </c>
      <c r="F42">
        <v>535</v>
      </c>
      <c r="G42" t="s">
        <v>390</v>
      </c>
      <c r="H42" t="s">
        <v>384</v>
      </c>
      <c r="I42" t="s">
        <v>391</v>
      </c>
      <c r="J42" t="s">
        <v>392</v>
      </c>
      <c r="K42">
        <v>5500</v>
      </c>
      <c r="L42">
        <v>4500</v>
      </c>
      <c r="M42">
        <v>0</v>
      </c>
      <c r="N42">
        <v>0</v>
      </c>
      <c r="O42">
        <v>0</v>
      </c>
      <c r="P42">
        <v>0</v>
      </c>
      <c r="Q42">
        <v>1</v>
      </c>
      <c r="R42">
        <v>1</v>
      </c>
      <c r="S42">
        <v>1</v>
      </c>
      <c r="T42">
        <v>6.5</v>
      </c>
      <c r="U42">
        <v>0</v>
      </c>
      <c r="V42">
        <v>0</v>
      </c>
      <c r="W42">
        <v>1</v>
      </c>
      <c r="X42">
        <v>1</v>
      </c>
      <c r="Y42">
        <v>40</v>
      </c>
      <c r="Z42">
        <v>25</v>
      </c>
      <c r="AA42">
        <v>0.1</v>
      </c>
      <c r="AB42" t="s">
        <v>451</v>
      </c>
      <c r="AC42">
        <v>1</v>
      </c>
      <c r="AD42">
        <v>0</v>
      </c>
      <c r="AE42">
        <v>0</v>
      </c>
      <c r="AF42">
        <v>0</v>
      </c>
      <c r="AG42">
        <v>-120</v>
      </c>
      <c r="AH42">
        <v>120</v>
      </c>
      <c r="AI42">
        <v>-2.5</v>
      </c>
      <c r="AJ42">
        <v>60</v>
      </c>
      <c r="AO42">
        <v>30</v>
      </c>
      <c r="AP42">
        <v>1</v>
      </c>
      <c r="AY42">
        <v>0.3</v>
      </c>
      <c r="BA42">
        <v>1</v>
      </c>
      <c r="BB42">
        <v>0.1</v>
      </c>
      <c r="BD42">
        <v>0.05</v>
      </c>
    </row>
    <row r="43" spans="1:64" x14ac:dyDescent="0.25">
      <c r="A43" t="s">
        <v>249</v>
      </c>
      <c r="B43" t="s">
        <v>167</v>
      </c>
      <c r="C43" t="s">
        <v>387</v>
      </c>
      <c r="D43" t="s">
        <v>388</v>
      </c>
      <c r="E43">
        <v>535</v>
      </c>
      <c r="F43">
        <v>535</v>
      </c>
      <c r="G43" t="s">
        <v>390</v>
      </c>
      <c r="H43" t="s">
        <v>384</v>
      </c>
      <c r="I43" t="s">
        <v>391</v>
      </c>
      <c r="J43" t="s">
        <v>392</v>
      </c>
      <c r="K43" s="2">
        <v>5000</v>
      </c>
      <c r="L43">
        <v>4500</v>
      </c>
      <c r="M43">
        <v>0</v>
      </c>
      <c r="N43">
        <v>0</v>
      </c>
      <c r="O43">
        <v>0</v>
      </c>
      <c r="P43">
        <v>0</v>
      </c>
      <c r="Q43">
        <v>1</v>
      </c>
      <c r="R43">
        <v>1</v>
      </c>
      <c r="S43">
        <v>1</v>
      </c>
      <c r="T43">
        <v>6.5</v>
      </c>
      <c r="U43">
        <v>0</v>
      </c>
      <c r="V43">
        <v>0</v>
      </c>
      <c r="W43">
        <v>1</v>
      </c>
      <c r="X43">
        <v>1</v>
      </c>
      <c r="Y43">
        <v>40</v>
      </c>
      <c r="Z43">
        <v>25</v>
      </c>
      <c r="AA43">
        <v>0.1</v>
      </c>
      <c r="AB43" s="2" t="s">
        <v>374</v>
      </c>
      <c r="AC43">
        <v>1</v>
      </c>
      <c r="AD43">
        <v>0</v>
      </c>
      <c r="AE43">
        <v>0</v>
      </c>
      <c r="AF43">
        <v>0</v>
      </c>
      <c r="AG43">
        <v>-120</v>
      </c>
      <c r="AH43">
        <v>120</v>
      </c>
      <c r="AI43">
        <v>-2.5</v>
      </c>
      <c r="AJ43">
        <v>60</v>
      </c>
      <c r="AO43">
        <v>30</v>
      </c>
      <c r="AP43">
        <v>1</v>
      </c>
      <c r="AQ43" s="2">
        <v>1</v>
      </c>
      <c r="AR43" s="2">
        <v>1</v>
      </c>
      <c r="AS43" s="2">
        <v>1</v>
      </c>
      <c r="AT43" s="2">
        <v>1</v>
      </c>
      <c r="AV43" s="2">
        <v>1</v>
      </c>
      <c r="AX43" s="2">
        <v>0.7</v>
      </c>
      <c r="AY43">
        <v>0.3</v>
      </c>
      <c r="BA43">
        <v>1</v>
      </c>
      <c r="BB43">
        <v>0.1</v>
      </c>
      <c r="BC43" s="2">
        <v>0.1</v>
      </c>
      <c r="BD43">
        <v>0.05</v>
      </c>
      <c r="BE43" s="2">
        <v>0.05</v>
      </c>
      <c r="BF43" s="2">
        <v>1</v>
      </c>
      <c r="BG43" s="2">
        <v>1</v>
      </c>
      <c r="BH43" s="2">
        <v>1</v>
      </c>
      <c r="BJ43" s="2">
        <v>0.75</v>
      </c>
    </row>
    <row r="44" spans="1:64" hidden="1" x14ac:dyDescent="0.25">
      <c r="A44" t="s">
        <v>250</v>
      </c>
      <c r="B44" t="s">
        <v>482</v>
      </c>
      <c r="C44" t="s">
        <v>387</v>
      </c>
      <c r="D44" t="s">
        <v>388</v>
      </c>
      <c r="E44">
        <v>5000</v>
      </c>
      <c r="F44">
        <v>5000</v>
      </c>
      <c r="G44" t="s">
        <v>383</v>
      </c>
      <c r="H44" t="s">
        <v>411</v>
      </c>
      <c r="I44" t="s">
        <v>412</v>
      </c>
      <c r="J44" t="s">
        <v>413</v>
      </c>
      <c r="K44">
        <v>400</v>
      </c>
      <c r="L44">
        <v>1000</v>
      </c>
      <c r="M44">
        <v>0</v>
      </c>
      <c r="N44">
        <v>0</v>
      </c>
      <c r="O44">
        <v>0</v>
      </c>
      <c r="P44">
        <v>0</v>
      </c>
      <c r="Q44">
        <v>1</v>
      </c>
      <c r="R44">
        <v>0</v>
      </c>
      <c r="S44">
        <v>0</v>
      </c>
      <c r="T44">
        <v>0.5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0.1</v>
      </c>
      <c r="AB44" t="s">
        <v>451</v>
      </c>
      <c r="AC44">
        <v>0</v>
      </c>
      <c r="AD44">
        <v>0</v>
      </c>
      <c r="AE44">
        <v>0</v>
      </c>
      <c r="AF44">
        <v>179</v>
      </c>
      <c r="AG44">
        <v>0</v>
      </c>
      <c r="AH44">
        <v>0</v>
      </c>
      <c r="AI44">
        <v>0</v>
      </c>
      <c r="AJ44">
        <v>0</v>
      </c>
      <c r="AO44">
        <v>5</v>
      </c>
      <c r="AP44">
        <v>1</v>
      </c>
      <c r="AZ44">
        <v>0</v>
      </c>
      <c r="BA44">
        <v>1</v>
      </c>
      <c r="BB44">
        <v>0</v>
      </c>
      <c r="BD44">
        <v>0</v>
      </c>
    </row>
    <row r="45" spans="1:64" x14ac:dyDescent="0.25">
      <c r="A45" t="s">
        <v>250</v>
      </c>
      <c r="B45" t="s">
        <v>167</v>
      </c>
      <c r="C45" t="s">
        <v>387</v>
      </c>
      <c r="D45" t="s">
        <v>388</v>
      </c>
      <c r="E45">
        <v>5000</v>
      </c>
      <c r="F45" s="2">
        <v>5500</v>
      </c>
      <c r="G45" t="s">
        <v>383</v>
      </c>
      <c r="H45" t="s">
        <v>411</v>
      </c>
      <c r="I45" t="s">
        <v>412</v>
      </c>
      <c r="J45" t="s">
        <v>413</v>
      </c>
      <c r="K45">
        <v>400</v>
      </c>
      <c r="L45" s="2">
        <v>1500</v>
      </c>
      <c r="M45">
        <v>0</v>
      </c>
      <c r="N45">
        <v>0</v>
      </c>
      <c r="O45">
        <v>0</v>
      </c>
      <c r="P45">
        <v>0</v>
      </c>
      <c r="Q45">
        <v>1</v>
      </c>
      <c r="R45">
        <v>0</v>
      </c>
      <c r="S45">
        <v>0</v>
      </c>
      <c r="T45">
        <v>0.5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0.1</v>
      </c>
      <c r="AB45" s="2" t="s">
        <v>374</v>
      </c>
      <c r="AC45">
        <v>0</v>
      </c>
      <c r="AD45">
        <v>0</v>
      </c>
      <c r="AE45">
        <v>0</v>
      </c>
      <c r="AF45">
        <v>179</v>
      </c>
      <c r="AG45">
        <v>0</v>
      </c>
      <c r="AH45">
        <v>0</v>
      </c>
      <c r="AI45">
        <v>0</v>
      </c>
      <c r="AJ45">
        <v>0</v>
      </c>
      <c r="AO45">
        <v>5</v>
      </c>
      <c r="AP45">
        <v>1</v>
      </c>
      <c r="AZ45">
        <v>0</v>
      </c>
      <c r="BA45">
        <v>1</v>
      </c>
      <c r="BB45">
        <v>0</v>
      </c>
      <c r="BC45">
        <v>0</v>
      </c>
      <c r="BD45">
        <v>0</v>
      </c>
      <c r="BE45">
        <v>0</v>
      </c>
    </row>
    <row r="46" spans="1:64" hidden="1" x14ac:dyDescent="0.25">
      <c r="A46" t="s">
        <v>251</v>
      </c>
      <c r="B46" t="s">
        <v>482</v>
      </c>
      <c r="C46" t="s">
        <v>387</v>
      </c>
      <c r="D46" t="s">
        <v>388</v>
      </c>
      <c r="E46">
        <v>42</v>
      </c>
      <c r="F46">
        <v>42</v>
      </c>
      <c r="G46" t="s">
        <v>390</v>
      </c>
      <c r="H46" t="s">
        <v>384</v>
      </c>
      <c r="I46" t="s">
        <v>414</v>
      </c>
      <c r="J46" t="s">
        <v>392</v>
      </c>
      <c r="K46">
        <v>1500</v>
      </c>
      <c r="L46">
        <v>1200</v>
      </c>
      <c r="M46">
        <v>0</v>
      </c>
      <c r="N46">
        <v>0</v>
      </c>
      <c r="O46">
        <v>0</v>
      </c>
      <c r="P46">
        <v>0</v>
      </c>
      <c r="Q46">
        <v>1</v>
      </c>
      <c r="R46">
        <v>1</v>
      </c>
      <c r="S46">
        <v>0</v>
      </c>
      <c r="T46">
        <v>3</v>
      </c>
      <c r="U46">
        <v>0</v>
      </c>
      <c r="V46">
        <v>0</v>
      </c>
      <c r="W46">
        <v>1</v>
      </c>
      <c r="X46">
        <v>0</v>
      </c>
      <c r="Y46">
        <v>60</v>
      </c>
      <c r="Z46">
        <v>60</v>
      </c>
      <c r="AA46">
        <v>0.1</v>
      </c>
      <c r="AB46" t="s">
        <v>451</v>
      </c>
      <c r="AC46">
        <v>1</v>
      </c>
      <c r="AD46">
        <v>0</v>
      </c>
      <c r="AE46">
        <v>0</v>
      </c>
      <c r="AF46">
        <v>0</v>
      </c>
      <c r="AG46">
        <v>-180</v>
      </c>
      <c r="AH46">
        <v>180</v>
      </c>
      <c r="AI46">
        <v>-10</v>
      </c>
      <c r="AJ46">
        <v>60</v>
      </c>
      <c r="AO46">
        <v>5</v>
      </c>
      <c r="AP46">
        <v>1</v>
      </c>
      <c r="AX46">
        <v>0.8</v>
      </c>
      <c r="AZ46">
        <v>1</v>
      </c>
      <c r="BA46">
        <v>1</v>
      </c>
      <c r="BB46">
        <v>0.1</v>
      </c>
      <c r="BD46">
        <v>0.13</v>
      </c>
      <c r="BF46">
        <v>0.8</v>
      </c>
      <c r="BG46">
        <v>0.6</v>
      </c>
      <c r="BH46">
        <v>0.6</v>
      </c>
      <c r="BK46">
        <v>0.6</v>
      </c>
    </row>
    <row r="47" spans="1:64" x14ac:dyDescent="0.25">
      <c r="A47" t="s">
        <v>251</v>
      </c>
      <c r="B47" t="s">
        <v>167</v>
      </c>
      <c r="C47" t="s">
        <v>387</v>
      </c>
      <c r="D47" t="s">
        <v>388</v>
      </c>
      <c r="E47">
        <v>42</v>
      </c>
      <c r="F47">
        <v>42</v>
      </c>
      <c r="G47" t="s">
        <v>390</v>
      </c>
      <c r="H47" t="s">
        <v>384</v>
      </c>
      <c r="I47" t="s">
        <v>414</v>
      </c>
      <c r="J47" t="s">
        <v>392</v>
      </c>
      <c r="K47">
        <v>1500</v>
      </c>
      <c r="L47">
        <v>1200</v>
      </c>
      <c r="M47">
        <v>0</v>
      </c>
      <c r="N47">
        <v>0</v>
      </c>
      <c r="O47">
        <v>0</v>
      </c>
      <c r="P47">
        <v>0</v>
      </c>
      <c r="Q47">
        <v>1</v>
      </c>
      <c r="R47">
        <v>1</v>
      </c>
      <c r="S47">
        <v>0</v>
      </c>
      <c r="T47">
        <v>3</v>
      </c>
      <c r="U47">
        <v>0</v>
      </c>
      <c r="V47">
        <v>0</v>
      </c>
      <c r="W47">
        <v>1</v>
      </c>
      <c r="X47">
        <v>0</v>
      </c>
      <c r="Y47">
        <v>60</v>
      </c>
      <c r="Z47">
        <v>60</v>
      </c>
      <c r="AA47">
        <v>0.1</v>
      </c>
      <c r="AB47" s="2" t="s">
        <v>374</v>
      </c>
      <c r="AC47">
        <v>1</v>
      </c>
      <c r="AD47">
        <v>0</v>
      </c>
      <c r="AE47">
        <v>0</v>
      </c>
      <c r="AF47">
        <v>0</v>
      </c>
      <c r="AG47">
        <v>-180</v>
      </c>
      <c r="AH47">
        <v>180</v>
      </c>
      <c r="AI47">
        <v>-10</v>
      </c>
      <c r="AJ47">
        <v>60</v>
      </c>
      <c r="AO47">
        <v>5</v>
      </c>
      <c r="AP47">
        <v>1</v>
      </c>
      <c r="AX47">
        <v>0.8</v>
      </c>
      <c r="AZ47">
        <v>1</v>
      </c>
      <c r="BA47">
        <v>1</v>
      </c>
      <c r="BB47">
        <v>0.1</v>
      </c>
      <c r="BC47" s="2">
        <v>0.1</v>
      </c>
      <c r="BD47">
        <v>0.13</v>
      </c>
      <c r="BE47" s="2">
        <v>0.15</v>
      </c>
      <c r="BF47">
        <v>0.8</v>
      </c>
      <c r="BG47">
        <v>0.6</v>
      </c>
      <c r="BH47">
        <v>0.6</v>
      </c>
      <c r="BK47">
        <v>0.6</v>
      </c>
    </row>
    <row r="48" spans="1:64" hidden="1" x14ac:dyDescent="0.25">
      <c r="A48" t="s">
        <v>252</v>
      </c>
      <c r="B48" t="s">
        <v>482</v>
      </c>
      <c r="C48" t="s">
        <v>387</v>
      </c>
      <c r="D48" t="s">
        <v>388</v>
      </c>
      <c r="E48">
        <v>100</v>
      </c>
      <c r="F48">
        <v>100</v>
      </c>
      <c r="G48" t="s">
        <v>396</v>
      </c>
      <c r="H48" t="s">
        <v>400</v>
      </c>
      <c r="I48" t="s">
        <v>415</v>
      </c>
      <c r="J48" t="s">
        <v>392</v>
      </c>
      <c r="K48">
        <v>0</v>
      </c>
      <c r="L48">
        <v>0</v>
      </c>
      <c r="M48">
        <v>200</v>
      </c>
      <c r="N48">
        <v>2</v>
      </c>
      <c r="O48">
        <v>0</v>
      </c>
      <c r="P48">
        <v>0</v>
      </c>
      <c r="Q48">
        <v>10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0.1</v>
      </c>
      <c r="AB48" t="s">
        <v>451</v>
      </c>
      <c r="AC48">
        <v>1</v>
      </c>
      <c r="AD48">
        <v>0</v>
      </c>
      <c r="AE48">
        <v>0</v>
      </c>
      <c r="AO48">
        <v>5</v>
      </c>
      <c r="AP48">
        <v>1</v>
      </c>
      <c r="AS48">
        <v>0</v>
      </c>
      <c r="AU48">
        <v>0.4</v>
      </c>
      <c r="AV48">
        <v>0.4</v>
      </c>
      <c r="AW48">
        <v>0.3</v>
      </c>
      <c r="AX48">
        <v>0.15</v>
      </c>
    </row>
    <row r="49" spans="1:65" x14ac:dyDescent="0.25">
      <c r="A49" t="s">
        <v>252</v>
      </c>
      <c r="B49" t="s">
        <v>167</v>
      </c>
      <c r="C49" t="s">
        <v>387</v>
      </c>
      <c r="D49" t="s">
        <v>388</v>
      </c>
      <c r="E49">
        <v>100</v>
      </c>
      <c r="F49">
        <v>100</v>
      </c>
      <c r="G49" t="s">
        <v>396</v>
      </c>
      <c r="H49" t="s">
        <v>400</v>
      </c>
      <c r="I49" t="s">
        <v>415</v>
      </c>
      <c r="J49" t="s">
        <v>392</v>
      </c>
      <c r="K49">
        <v>0</v>
      </c>
      <c r="L49">
        <v>0</v>
      </c>
      <c r="M49">
        <v>200</v>
      </c>
      <c r="N49">
        <v>2</v>
      </c>
      <c r="O49">
        <v>0</v>
      </c>
      <c r="P49">
        <v>0</v>
      </c>
      <c r="Q49">
        <v>10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0.1</v>
      </c>
      <c r="AB49" s="2" t="s">
        <v>374</v>
      </c>
      <c r="AC49">
        <v>1</v>
      </c>
      <c r="AD49">
        <v>0</v>
      </c>
      <c r="AE49">
        <v>0</v>
      </c>
      <c r="AO49">
        <v>5</v>
      </c>
      <c r="AP49">
        <v>1</v>
      </c>
      <c r="AS49">
        <v>0</v>
      </c>
      <c r="AT49">
        <v>0</v>
      </c>
      <c r="AU49">
        <v>0.4</v>
      </c>
      <c r="AV49">
        <v>0.4</v>
      </c>
      <c r="AW49">
        <v>0.3</v>
      </c>
      <c r="AX49">
        <v>0.15</v>
      </c>
    </row>
    <row r="50" spans="1:65" hidden="1" x14ac:dyDescent="0.25">
      <c r="A50" t="s">
        <v>253</v>
      </c>
      <c r="B50" t="s">
        <v>482</v>
      </c>
      <c r="C50" t="s">
        <v>387</v>
      </c>
      <c r="D50" t="s">
        <v>409</v>
      </c>
      <c r="E50">
        <v>0</v>
      </c>
      <c r="F50">
        <v>0</v>
      </c>
      <c r="G50" t="s">
        <v>390</v>
      </c>
      <c r="H50" t="s">
        <v>384</v>
      </c>
      <c r="I50" t="s">
        <v>408</v>
      </c>
      <c r="J50" t="s">
        <v>392</v>
      </c>
      <c r="K50">
        <v>3000</v>
      </c>
      <c r="L50">
        <v>8000</v>
      </c>
      <c r="M50">
        <v>0</v>
      </c>
      <c r="N50">
        <v>0</v>
      </c>
      <c r="O50">
        <v>0</v>
      </c>
      <c r="P50">
        <v>0</v>
      </c>
      <c r="Q50">
        <v>1</v>
      </c>
      <c r="R50">
        <v>1</v>
      </c>
      <c r="S50">
        <v>0</v>
      </c>
      <c r="T50">
        <v>10</v>
      </c>
      <c r="U50">
        <v>0</v>
      </c>
      <c r="V50">
        <v>0</v>
      </c>
      <c r="W50">
        <v>0</v>
      </c>
      <c r="X50">
        <v>0</v>
      </c>
      <c r="Y50">
        <v>120</v>
      </c>
      <c r="Z50">
        <v>120</v>
      </c>
      <c r="AA50">
        <v>0.1</v>
      </c>
      <c r="AB50" t="s">
        <v>451</v>
      </c>
      <c r="AC50">
        <v>1</v>
      </c>
      <c r="AD50">
        <v>0</v>
      </c>
      <c r="AE50">
        <v>0</v>
      </c>
      <c r="AF50">
        <v>0</v>
      </c>
      <c r="AG50">
        <v>-180</v>
      </c>
      <c r="AH50">
        <v>180</v>
      </c>
      <c r="AI50">
        <v>-10</v>
      </c>
      <c r="AJ50">
        <v>60</v>
      </c>
      <c r="AK50" t="s">
        <v>410</v>
      </c>
      <c r="AL50" t="s">
        <v>409</v>
      </c>
      <c r="AM50">
        <v>0</v>
      </c>
      <c r="AN50">
        <v>0</v>
      </c>
      <c r="AO50">
        <v>0</v>
      </c>
      <c r="AP50">
        <v>1</v>
      </c>
      <c r="AZ50">
        <v>1</v>
      </c>
      <c r="BA50">
        <v>0</v>
      </c>
      <c r="BM50">
        <v>1</v>
      </c>
    </row>
    <row r="51" spans="1:65" x14ac:dyDescent="0.25">
      <c r="A51" t="s">
        <v>253</v>
      </c>
      <c r="B51" t="s">
        <v>167</v>
      </c>
      <c r="C51" t="s">
        <v>387</v>
      </c>
      <c r="D51" t="s">
        <v>409</v>
      </c>
      <c r="E51">
        <v>0</v>
      </c>
      <c r="F51">
        <v>0</v>
      </c>
      <c r="G51" t="s">
        <v>390</v>
      </c>
      <c r="H51" t="s">
        <v>384</v>
      </c>
      <c r="I51" t="s">
        <v>408</v>
      </c>
      <c r="J51" t="s">
        <v>392</v>
      </c>
      <c r="K51">
        <v>3000</v>
      </c>
      <c r="L51">
        <v>8000</v>
      </c>
      <c r="M51">
        <v>0</v>
      </c>
      <c r="N51">
        <v>0</v>
      </c>
      <c r="O51">
        <v>0</v>
      </c>
      <c r="P51">
        <v>0</v>
      </c>
      <c r="Q51">
        <v>1</v>
      </c>
      <c r="R51">
        <v>1</v>
      </c>
      <c r="S51">
        <v>0</v>
      </c>
      <c r="T51">
        <v>10</v>
      </c>
      <c r="U51">
        <v>0</v>
      </c>
      <c r="V51">
        <v>0</v>
      </c>
      <c r="W51">
        <v>0</v>
      </c>
      <c r="X51">
        <v>0</v>
      </c>
      <c r="Y51">
        <v>120</v>
      </c>
      <c r="Z51">
        <v>120</v>
      </c>
      <c r="AA51">
        <v>0.1</v>
      </c>
      <c r="AB51" s="2" t="s">
        <v>374</v>
      </c>
      <c r="AC51">
        <v>1</v>
      </c>
      <c r="AD51">
        <v>0</v>
      </c>
      <c r="AE51">
        <v>0</v>
      </c>
      <c r="AF51">
        <v>0</v>
      </c>
      <c r="AG51">
        <v>-180</v>
      </c>
      <c r="AH51">
        <v>180</v>
      </c>
      <c r="AI51">
        <v>-10</v>
      </c>
      <c r="AJ51">
        <v>60</v>
      </c>
      <c r="AK51" t="s">
        <v>410</v>
      </c>
      <c r="AL51" t="s">
        <v>409</v>
      </c>
      <c r="AM51">
        <v>0</v>
      </c>
      <c r="AN51">
        <v>0</v>
      </c>
      <c r="AO51">
        <v>0</v>
      </c>
      <c r="AP51">
        <v>1</v>
      </c>
      <c r="AZ51">
        <v>1</v>
      </c>
      <c r="BA51">
        <v>0</v>
      </c>
      <c r="BM51">
        <v>1</v>
      </c>
    </row>
    <row r="52" spans="1:65" hidden="1" x14ac:dyDescent="0.25">
      <c r="A52" t="s">
        <v>254</v>
      </c>
      <c r="B52" t="s">
        <v>482</v>
      </c>
      <c r="C52" t="s">
        <v>387</v>
      </c>
      <c r="D52" t="s">
        <v>388</v>
      </c>
      <c r="E52">
        <v>20</v>
      </c>
      <c r="F52">
        <v>20</v>
      </c>
      <c r="G52" t="s">
        <v>383</v>
      </c>
      <c r="H52" t="s">
        <v>384</v>
      </c>
      <c r="I52" t="s">
        <v>416</v>
      </c>
      <c r="J52" t="s">
        <v>392</v>
      </c>
      <c r="K52">
        <v>2500</v>
      </c>
      <c r="L52">
        <v>2200</v>
      </c>
      <c r="M52">
        <v>0</v>
      </c>
      <c r="N52">
        <v>0</v>
      </c>
      <c r="O52">
        <v>0</v>
      </c>
      <c r="P52">
        <v>0</v>
      </c>
      <c r="Q52">
        <v>1</v>
      </c>
      <c r="R52">
        <v>1</v>
      </c>
      <c r="S52">
        <v>0</v>
      </c>
      <c r="T52">
        <v>2</v>
      </c>
      <c r="U52">
        <v>0</v>
      </c>
      <c r="V52">
        <v>0</v>
      </c>
      <c r="W52">
        <v>1</v>
      </c>
      <c r="X52">
        <v>0</v>
      </c>
      <c r="Y52">
        <v>0</v>
      </c>
      <c r="Z52">
        <v>0</v>
      </c>
      <c r="AA52">
        <v>0.1</v>
      </c>
      <c r="AB52" t="s">
        <v>451</v>
      </c>
      <c r="AC52">
        <v>0</v>
      </c>
      <c r="AD52">
        <v>0</v>
      </c>
      <c r="AE52">
        <v>0</v>
      </c>
      <c r="AF52">
        <v>90</v>
      </c>
      <c r="AG52">
        <v>0</v>
      </c>
      <c r="AH52">
        <v>0</v>
      </c>
      <c r="AI52">
        <v>0</v>
      </c>
      <c r="AJ52">
        <v>0</v>
      </c>
      <c r="AO52">
        <v>5</v>
      </c>
      <c r="AP52">
        <v>1</v>
      </c>
      <c r="AW52">
        <v>3</v>
      </c>
      <c r="AX52">
        <v>0.75</v>
      </c>
      <c r="BA52">
        <v>1</v>
      </c>
      <c r="BB52">
        <v>0.14000000000000001</v>
      </c>
      <c r="BD52">
        <v>0.45</v>
      </c>
    </row>
    <row r="53" spans="1:65" x14ac:dyDescent="0.25">
      <c r="A53" t="s">
        <v>254</v>
      </c>
      <c r="B53" t="s">
        <v>167</v>
      </c>
      <c r="C53" t="s">
        <v>387</v>
      </c>
      <c r="D53" t="s">
        <v>388</v>
      </c>
      <c r="E53" s="2">
        <v>5</v>
      </c>
      <c r="F53" s="2">
        <v>7</v>
      </c>
      <c r="G53" t="s">
        <v>383</v>
      </c>
      <c r="H53" t="s">
        <v>384</v>
      </c>
      <c r="I53" s="2" t="s">
        <v>414</v>
      </c>
      <c r="J53" t="s">
        <v>392</v>
      </c>
      <c r="K53" s="2">
        <v>1500</v>
      </c>
      <c r="L53">
        <v>2200</v>
      </c>
      <c r="M53">
        <v>0</v>
      </c>
      <c r="N53">
        <v>0</v>
      </c>
      <c r="O53">
        <v>0</v>
      </c>
      <c r="P53">
        <v>0</v>
      </c>
      <c r="Q53">
        <v>1</v>
      </c>
      <c r="R53">
        <v>1</v>
      </c>
      <c r="S53">
        <v>0</v>
      </c>
      <c r="T53" s="2">
        <v>0.3</v>
      </c>
      <c r="U53" s="2">
        <v>2</v>
      </c>
      <c r="V53" s="2">
        <v>2</v>
      </c>
      <c r="W53" s="2">
        <v>0</v>
      </c>
      <c r="X53">
        <v>0</v>
      </c>
      <c r="Y53">
        <v>0</v>
      </c>
      <c r="Z53">
        <v>0</v>
      </c>
      <c r="AA53">
        <v>0.1</v>
      </c>
      <c r="AB53" s="2" t="s">
        <v>374</v>
      </c>
      <c r="AC53">
        <v>0</v>
      </c>
      <c r="AD53">
        <v>0</v>
      </c>
      <c r="AE53">
        <v>0</v>
      </c>
      <c r="AF53">
        <v>90</v>
      </c>
      <c r="AG53">
        <v>0</v>
      </c>
      <c r="AH53">
        <v>0</v>
      </c>
      <c r="AI53">
        <v>0</v>
      </c>
      <c r="AJ53">
        <v>0</v>
      </c>
      <c r="AO53">
        <v>5</v>
      </c>
      <c r="AP53">
        <v>1</v>
      </c>
      <c r="AQ53" s="2">
        <v>1</v>
      </c>
      <c r="AR53" s="2">
        <v>2</v>
      </c>
      <c r="AS53" s="2">
        <v>2</v>
      </c>
      <c r="AT53" s="2">
        <v>4</v>
      </c>
      <c r="AW53">
        <v>3</v>
      </c>
      <c r="AX53">
        <v>0.75</v>
      </c>
      <c r="BA53" s="2">
        <v>0</v>
      </c>
      <c r="BB53" s="2">
        <v>0.16</v>
      </c>
      <c r="BC53" s="2">
        <v>0.16</v>
      </c>
      <c r="BD53" s="2">
        <v>0.5</v>
      </c>
      <c r="BE53" s="2">
        <v>0.5</v>
      </c>
      <c r="BF53" s="2">
        <v>1</v>
      </c>
      <c r="BK53" s="2">
        <v>0.6</v>
      </c>
    </row>
    <row r="54" spans="1:65" x14ac:dyDescent="0.25">
      <c r="A54" s="3" t="s">
        <v>312</v>
      </c>
      <c r="B54" t="s">
        <v>167</v>
      </c>
      <c r="C54" t="s">
        <v>387</v>
      </c>
      <c r="D54" t="s">
        <v>388</v>
      </c>
      <c r="E54">
        <v>5</v>
      </c>
      <c r="F54">
        <v>7</v>
      </c>
      <c r="G54" t="s">
        <v>383</v>
      </c>
      <c r="H54" t="s">
        <v>384</v>
      </c>
      <c r="I54" t="s">
        <v>414</v>
      </c>
      <c r="J54" t="s">
        <v>392</v>
      </c>
      <c r="K54">
        <v>1500</v>
      </c>
      <c r="L54">
        <v>2200</v>
      </c>
      <c r="M54">
        <v>0</v>
      </c>
      <c r="N54">
        <v>0</v>
      </c>
      <c r="O54">
        <v>0</v>
      </c>
      <c r="P54">
        <v>0</v>
      </c>
      <c r="Q54">
        <v>1</v>
      </c>
      <c r="R54">
        <v>1</v>
      </c>
      <c r="S54">
        <v>0</v>
      </c>
      <c r="T54">
        <v>0.3</v>
      </c>
      <c r="U54">
        <v>2</v>
      </c>
      <c r="V54">
        <v>2</v>
      </c>
      <c r="W54">
        <v>0</v>
      </c>
      <c r="X54">
        <v>0</v>
      </c>
      <c r="Y54">
        <v>0</v>
      </c>
      <c r="Z54">
        <v>0</v>
      </c>
      <c r="AA54">
        <v>0.1</v>
      </c>
      <c r="AB54" t="s">
        <v>374</v>
      </c>
      <c r="AC54">
        <v>0</v>
      </c>
      <c r="AD54">
        <v>0</v>
      </c>
      <c r="AE54">
        <v>0</v>
      </c>
      <c r="AF54">
        <v>90</v>
      </c>
      <c r="AG54">
        <v>0</v>
      </c>
      <c r="AH54">
        <v>0</v>
      </c>
      <c r="AI54">
        <v>0</v>
      </c>
      <c r="AJ54">
        <v>0</v>
      </c>
      <c r="AO54">
        <v>5</v>
      </c>
      <c r="AP54">
        <v>1</v>
      </c>
      <c r="AQ54">
        <v>1</v>
      </c>
      <c r="AR54">
        <v>3.5</v>
      </c>
      <c r="AS54">
        <v>2</v>
      </c>
      <c r="AT54">
        <v>4</v>
      </c>
      <c r="AW54">
        <v>3</v>
      </c>
      <c r="AX54">
        <v>0.75</v>
      </c>
      <c r="BA54">
        <v>0</v>
      </c>
      <c r="BB54">
        <v>0.16</v>
      </c>
      <c r="BC54">
        <v>0.32</v>
      </c>
      <c r="BD54">
        <v>0.5</v>
      </c>
      <c r="BE54">
        <v>0.65</v>
      </c>
      <c r="BF54">
        <v>1</v>
      </c>
      <c r="BK54">
        <v>0.6</v>
      </c>
    </row>
    <row r="55" spans="1:65" hidden="1" x14ac:dyDescent="0.25">
      <c r="A55" t="s">
        <v>255</v>
      </c>
      <c r="B55" t="s">
        <v>482</v>
      </c>
      <c r="C55" t="s">
        <v>387</v>
      </c>
      <c r="D55" t="s">
        <v>388</v>
      </c>
      <c r="E55">
        <v>20</v>
      </c>
      <c r="F55">
        <v>20</v>
      </c>
      <c r="G55" t="s">
        <v>383</v>
      </c>
      <c r="H55" t="s">
        <v>384</v>
      </c>
      <c r="I55" t="s">
        <v>416</v>
      </c>
      <c r="J55" t="s">
        <v>392</v>
      </c>
      <c r="K55">
        <v>2500</v>
      </c>
      <c r="L55">
        <v>2200</v>
      </c>
      <c r="M55">
        <v>0</v>
      </c>
      <c r="N55">
        <v>0</v>
      </c>
      <c r="O55">
        <v>0</v>
      </c>
      <c r="P55">
        <v>0</v>
      </c>
      <c r="Q55">
        <v>1</v>
      </c>
      <c r="R55">
        <v>1</v>
      </c>
      <c r="S55">
        <v>0</v>
      </c>
      <c r="T55">
        <v>2</v>
      </c>
      <c r="U55">
        <v>0</v>
      </c>
      <c r="V55">
        <v>0</v>
      </c>
      <c r="W55">
        <v>1</v>
      </c>
      <c r="X55">
        <v>0</v>
      </c>
      <c r="Y55">
        <v>0</v>
      </c>
      <c r="Z55">
        <v>0</v>
      </c>
      <c r="AA55">
        <v>0.1</v>
      </c>
      <c r="AB55" t="s">
        <v>451</v>
      </c>
      <c r="AC55">
        <v>0</v>
      </c>
      <c r="AD55">
        <v>0</v>
      </c>
      <c r="AE55">
        <v>0</v>
      </c>
      <c r="AF55">
        <v>110</v>
      </c>
      <c r="AG55">
        <v>0</v>
      </c>
      <c r="AH55">
        <v>0</v>
      </c>
      <c r="AI55">
        <v>0</v>
      </c>
      <c r="AJ55">
        <v>0</v>
      </c>
      <c r="AO55">
        <v>5</v>
      </c>
      <c r="AP55">
        <v>1</v>
      </c>
      <c r="BA55">
        <v>1</v>
      </c>
      <c r="BB55">
        <v>0.14000000000000001</v>
      </c>
      <c r="BD55">
        <v>0.45</v>
      </c>
    </row>
    <row r="56" spans="1:65" x14ac:dyDescent="0.25">
      <c r="A56" t="s">
        <v>255</v>
      </c>
      <c r="B56" t="s">
        <v>167</v>
      </c>
      <c r="C56" t="s">
        <v>387</v>
      </c>
      <c r="D56" t="s">
        <v>388</v>
      </c>
      <c r="E56" s="2">
        <v>5</v>
      </c>
      <c r="F56" s="2">
        <v>7</v>
      </c>
      <c r="G56" t="s">
        <v>383</v>
      </c>
      <c r="H56" t="s">
        <v>384</v>
      </c>
      <c r="I56" s="2" t="s">
        <v>414</v>
      </c>
      <c r="J56" t="s">
        <v>392</v>
      </c>
      <c r="K56" s="2">
        <v>1500</v>
      </c>
      <c r="L56">
        <v>2200</v>
      </c>
      <c r="M56">
        <v>0</v>
      </c>
      <c r="N56">
        <v>0</v>
      </c>
      <c r="O56">
        <v>0</v>
      </c>
      <c r="P56">
        <v>0</v>
      </c>
      <c r="Q56">
        <v>1</v>
      </c>
      <c r="R56">
        <v>1</v>
      </c>
      <c r="S56">
        <v>0</v>
      </c>
      <c r="T56" s="2">
        <v>0.3</v>
      </c>
      <c r="U56" s="2">
        <v>2</v>
      </c>
      <c r="V56" s="2">
        <v>2</v>
      </c>
      <c r="W56" s="2">
        <v>0</v>
      </c>
      <c r="X56">
        <v>0</v>
      </c>
      <c r="Y56">
        <v>0</v>
      </c>
      <c r="Z56">
        <v>0</v>
      </c>
      <c r="AA56">
        <v>0.1</v>
      </c>
      <c r="AB56" s="2" t="s">
        <v>374</v>
      </c>
      <c r="AC56">
        <v>0</v>
      </c>
      <c r="AD56">
        <v>0</v>
      </c>
      <c r="AE56">
        <v>0</v>
      </c>
      <c r="AF56" s="2">
        <v>90</v>
      </c>
      <c r="AG56">
        <v>0</v>
      </c>
      <c r="AH56">
        <v>0</v>
      </c>
      <c r="AI56">
        <v>0</v>
      </c>
      <c r="AJ56">
        <v>0</v>
      </c>
      <c r="AO56">
        <v>5</v>
      </c>
      <c r="AP56">
        <v>1</v>
      </c>
      <c r="AQ56" s="2">
        <v>1</v>
      </c>
      <c r="AR56" s="2">
        <v>2</v>
      </c>
      <c r="AS56" s="2">
        <v>2</v>
      </c>
      <c r="AT56" s="2">
        <v>4</v>
      </c>
      <c r="AW56" s="2">
        <v>3</v>
      </c>
      <c r="AX56" s="2">
        <v>0.75</v>
      </c>
      <c r="BA56" s="2">
        <v>0</v>
      </c>
      <c r="BB56" s="2">
        <v>0.16</v>
      </c>
      <c r="BC56" s="2">
        <v>0.16</v>
      </c>
      <c r="BD56" s="2">
        <v>0.5</v>
      </c>
      <c r="BE56" s="2">
        <v>0.5</v>
      </c>
      <c r="BF56" s="2">
        <v>1</v>
      </c>
      <c r="BK56" s="2">
        <v>0.6</v>
      </c>
    </row>
    <row r="57" spans="1:65" hidden="1" x14ac:dyDescent="0.25">
      <c r="A57" t="s">
        <v>256</v>
      </c>
      <c r="B57" t="s">
        <v>482</v>
      </c>
      <c r="C57" t="s">
        <v>387</v>
      </c>
      <c r="D57" t="s">
        <v>388</v>
      </c>
      <c r="E57">
        <v>10</v>
      </c>
      <c r="F57">
        <v>10</v>
      </c>
      <c r="G57" t="s">
        <v>383</v>
      </c>
      <c r="H57" t="s">
        <v>384</v>
      </c>
      <c r="I57" t="s">
        <v>407</v>
      </c>
      <c r="J57" t="s">
        <v>392</v>
      </c>
      <c r="K57">
        <v>900</v>
      </c>
      <c r="L57">
        <v>1200</v>
      </c>
      <c r="M57">
        <v>0</v>
      </c>
      <c r="N57">
        <v>0</v>
      </c>
      <c r="O57">
        <v>0</v>
      </c>
      <c r="P57">
        <v>0</v>
      </c>
      <c r="Q57">
        <v>1</v>
      </c>
      <c r="R57">
        <v>1</v>
      </c>
      <c r="S57">
        <v>0</v>
      </c>
      <c r="T57">
        <v>1.2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0.1</v>
      </c>
      <c r="AB57" t="s">
        <v>451</v>
      </c>
      <c r="AC57">
        <v>0</v>
      </c>
      <c r="AD57">
        <v>0</v>
      </c>
      <c r="AE57">
        <v>0</v>
      </c>
      <c r="AF57">
        <v>15</v>
      </c>
      <c r="AG57">
        <v>0</v>
      </c>
      <c r="AH57">
        <v>0</v>
      </c>
      <c r="AI57">
        <v>0</v>
      </c>
      <c r="AJ57">
        <v>0</v>
      </c>
      <c r="AO57">
        <v>5</v>
      </c>
      <c r="AP57">
        <v>1</v>
      </c>
      <c r="BA57">
        <v>1</v>
      </c>
      <c r="BB57">
        <v>7.0000000000000007E-2</v>
      </c>
      <c r="BD57">
        <v>0.4</v>
      </c>
      <c r="BF57">
        <v>0.6</v>
      </c>
      <c r="BG57">
        <v>0.6</v>
      </c>
      <c r="BH57">
        <v>0.6</v>
      </c>
      <c r="BK57">
        <v>0.6</v>
      </c>
    </row>
    <row r="58" spans="1:65" x14ac:dyDescent="0.25">
      <c r="A58" t="s">
        <v>256</v>
      </c>
      <c r="B58" t="s">
        <v>167</v>
      </c>
      <c r="C58" t="s">
        <v>387</v>
      </c>
      <c r="D58" t="s">
        <v>388</v>
      </c>
      <c r="E58">
        <v>10</v>
      </c>
      <c r="F58" s="2">
        <v>14</v>
      </c>
      <c r="G58" t="s">
        <v>383</v>
      </c>
      <c r="H58" t="s">
        <v>384</v>
      </c>
      <c r="I58" t="s">
        <v>407</v>
      </c>
      <c r="J58" t="s">
        <v>392</v>
      </c>
      <c r="K58" s="2">
        <v>1400</v>
      </c>
      <c r="L58" s="2" t="s">
        <v>376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0</v>
      </c>
      <c r="T58" s="2">
        <v>0.7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0.1</v>
      </c>
      <c r="AB58" s="2" t="s">
        <v>374</v>
      </c>
      <c r="AC58">
        <v>0</v>
      </c>
      <c r="AD58">
        <v>0</v>
      </c>
      <c r="AE58">
        <v>0</v>
      </c>
      <c r="AF58">
        <v>15</v>
      </c>
      <c r="AG58">
        <v>0</v>
      </c>
      <c r="AH58">
        <v>0</v>
      </c>
      <c r="AI58">
        <v>0</v>
      </c>
      <c r="AJ58">
        <v>0</v>
      </c>
      <c r="AO58">
        <v>5</v>
      </c>
      <c r="AP58">
        <v>1</v>
      </c>
      <c r="AQ58" s="2">
        <v>1.06</v>
      </c>
      <c r="AR58" s="2">
        <v>1.06</v>
      </c>
      <c r="AS58" s="2">
        <v>1.03</v>
      </c>
      <c r="AT58" s="2">
        <v>1.03</v>
      </c>
      <c r="AU58" s="2">
        <v>0.73</v>
      </c>
      <c r="BA58">
        <v>1</v>
      </c>
      <c r="BB58" s="2">
        <v>0.09</v>
      </c>
      <c r="BC58" s="2">
        <v>0.09</v>
      </c>
      <c r="BD58">
        <v>0.4</v>
      </c>
      <c r="BE58" s="2">
        <v>0.5</v>
      </c>
      <c r="BF58">
        <v>0.6</v>
      </c>
      <c r="BG58">
        <v>0.6</v>
      </c>
      <c r="BH58">
        <v>0.6</v>
      </c>
      <c r="BK58">
        <v>0.6</v>
      </c>
    </row>
    <row r="59" spans="1:65" hidden="1" x14ac:dyDescent="0.25">
      <c r="A59" t="s">
        <v>257</v>
      </c>
      <c r="B59" t="s">
        <v>482</v>
      </c>
      <c r="C59" t="s">
        <v>387</v>
      </c>
      <c r="D59" t="s">
        <v>388</v>
      </c>
      <c r="E59">
        <v>160</v>
      </c>
      <c r="F59">
        <v>160</v>
      </c>
      <c r="G59" t="s">
        <v>390</v>
      </c>
      <c r="H59" t="s">
        <v>393</v>
      </c>
      <c r="I59" t="s">
        <v>417</v>
      </c>
      <c r="J59" t="s">
        <v>392</v>
      </c>
      <c r="K59">
        <v>0</v>
      </c>
      <c r="L59">
        <v>1400</v>
      </c>
      <c r="M59">
        <v>0</v>
      </c>
      <c r="N59">
        <v>0.4</v>
      </c>
      <c r="O59">
        <v>0</v>
      </c>
      <c r="P59">
        <v>0</v>
      </c>
      <c r="Q59">
        <v>1</v>
      </c>
      <c r="R59">
        <v>1</v>
      </c>
      <c r="S59">
        <v>1</v>
      </c>
      <c r="T59">
        <v>1</v>
      </c>
      <c r="U59">
        <v>2</v>
      </c>
      <c r="V59">
        <v>4</v>
      </c>
      <c r="W59">
        <v>0</v>
      </c>
      <c r="X59">
        <v>0</v>
      </c>
      <c r="Y59">
        <v>120</v>
      </c>
      <c r="Z59">
        <v>120</v>
      </c>
      <c r="AA59">
        <v>0.1</v>
      </c>
      <c r="AB59" t="s">
        <v>451</v>
      </c>
      <c r="AC59">
        <v>1</v>
      </c>
      <c r="AD59">
        <v>0</v>
      </c>
      <c r="AE59">
        <v>300</v>
      </c>
      <c r="AF59">
        <v>0</v>
      </c>
      <c r="AG59">
        <v>-180</v>
      </c>
      <c r="AH59">
        <v>180</v>
      </c>
      <c r="AI59">
        <v>-5</v>
      </c>
      <c r="AJ59">
        <v>60</v>
      </c>
      <c r="AO59">
        <v>5</v>
      </c>
      <c r="AP59">
        <v>1</v>
      </c>
      <c r="AW59">
        <v>1.3</v>
      </c>
      <c r="AX59">
        <v>0.5</v>
      </c>
      <c r="AY59">
        <v>0.6</v>
      </c>
      <c r="BA59">
        <v>1</v>
      </c>
      <c r="BB59">
        <v>0.25</v>
      </c>
      <c r="BD59">
        <v>0.4</v>
      </c>
      <c r="BF59">
        <v>0.6</v>
      </c>
      <c r="BG59">
        <v>0.6</v>
      </c>
      <c r="BH59">
        <v>0.6</v>
      </c>
      <c r="BK59">
        <v>0.6</v>
      </c>
    </row>
    <row r="60" spans="1:65" x14ac:dyDescent="0.25">
      <c r="A60" t="s">
        <v>257</v>
      </c>
      <c r="B60" t="s">
        <v>167</v>
      </c>
      <c r="C60" t="s">
        <v>387</v>
      </c>
      <c r="D60" t="s">
        <v>388</v>
      </c>
      <c r="E60">
        <v>160</v>
      </c>
      <c r="F60">
        <v>160</v>
      </c>
      <c r="G60" t="s">
        <v>390</v>
      </c>
      <c r="H60" t="s">
        <v>393</v>
      </c>
      <c r="I60" t="s">
        <v>417</v>
      </c>
      <c r="J60" t="s">
        <v>392</v>
      </c>
      <c r="K60">
        <v>0</v>
      </c>
      <c r="L60" s="2" t="s">
        <v>377</v>
      </c>
      <c r="M60">
        <v>0</v>
      </c>
      <c r="N60">
        <v>0.4</v>
      </c>
      <c r="O60">
        <v>0</v>
      </c>
      <c r="P60">
        <v>0</v>
      </c>
      <c r="Q60">
        <v>1</v>
      </c>
      <c r="R60">
        <v>1</v>
      </c>
      <c r="S60">
        <v>1</v>
      </c>
      <c r="T60">
        <v>1</v>
      </c>
      <c r="U60">
        <v>2</v>
      </c>
      <c r="V60">
        <v>4</v>
      </c>
      <c r="W60">
        <v>0</v>
      </c>
      <c r="X60">
        <v>0</v>
      </c>
      <c r="Y60">
        <v>120</v>
      </c>
      <c r="Z60">
        <v>120</v>
      </c>
      <c r="AA60">
        <v>0.1</v>
      </c>
      <c r="AB60" s="2" t="s">
        <v>374</v>
      </c>
      <c r="AC60">
        <v>1</v>
      </c>
      <c r="AD60">
        <v>0</v>
      </c>
      <c r="AE60">
        <v>300</v>
      </c>
      <c r="AF60">
        <v>0</v>
      </c>
      <c r="AG60">
        <v>-180</v>
      </c>
      <c r="AH60">
        <v>180</v>
      </c>
      <c r="AI60">
        <v>-5</v>
      </c>
      <c r="AJ60">
        <v>60</v>
      </c>
      <c r="AO60">
        <v>5</v>
      </c>
      <c r="AP60">
        <v>1</v>
      </c>
      <c r="AQ60" s="2">
        <v>0.184</v>
      </c>
      <c r="AR60" s="2">
        <v>0.36799999999999999</v>
      </c>
      <c r="AS60" s="2">
        <v>1</v>
      </c>
      <c r="AT60" s="2">
        <v>1.88</v>
      </c>
      <c r="AU60" s="2">
        <v>1</v>
      </c>
      <c r="AW60">
        <v>1.3</v>
      </c>
      <c r="AX60" s="2">
        <v>0.59</v>
      </c>
      <c r="AY60">
        <v>0.6</v>
      </c>
      <c r="AZ60" s="2">
        <v>0.184</v>
      </c>
      <c r="BA60">
        <v>1</v>
      </c>
      <c r="BB60" s="2">
        <v>0.2</v>
      </c>
      <c r="BC60" s="2">
        <v>0.2</v>
      </c>
      <c r="BD60">
        <v>0.4</v>
      </c>
      <c r="BE60" s="2">
        <v>0.7</v>
      </c>
      <c r="BF60">
        <v>0.6</v>
      </c>
      <c r="BG60">
        <v>0.6</v>
      </c>
      <c r="BH60">
        <v>0.6</v>
      </c>
      <c r="BK60">
        <v>0.6</v>
      </c>
    </row>
    <row r="61" spans="1:65" hidden="1" x14ac:dyDescent="0.25">
      <c r="A61" t="s">
        <v>258</v>
      </c>
      <c r="B61" t="s">
        <v>482</v>
      </c>
      <c r="C61" t="s">
        <v>387</v>
      </c>
      <c r="D61" t="s">
        <v>388</v>
      </c>
      <c r="E61">
        <v>50</v>
      </c>
      <c r="F61">
        <v>50</v>
      </c>
      <c r="G61" t="s">
        <v>390</v>
      </c>
      <c r="H61" t="s">
        <v>393</v>
      </c>
      <c r="I61" t="s">
        <v>417</v>
      </c>
      <c r="J61" t="s">
        <v>392</v>
      </c>
      <c r="K61">
        <v>0</v>
      </c>
      <c r="L61">
        <v>1000</v>
      </c>
      <c r="M61">
        <v>0</v>
      </c>
      <c r="N61">
        <v>0.4</v>
      </c>
      <c r="O61">
        <v>0</v>
      </c>
      <c r="P61">
        <v>0</v>
      </c>
      <c r="Q61">
        <v>1</v>
      </c>
      <c r="R61">
        <v>1</v>
      </c>
      <c r="S61">
        <v>1</v>
      </c>
      <c r="T61">
        <v>0.7</v>
      </c>
      <c r="U61">
        <v>1.5</v>
      </c>
      <c r="V61">
        <v>1</v>
      </c>
      <c r="W61">
        <v>1</v>
      </c>
      <c r="X61">
        <v>1</v>
      </c>
      <c r="Y61">
        <v>120</v>
      </c>
      <c r="Z61">
        <v>120</v>
      </c>
      <c r="AA61">
        <v>0.1</v>
      </c>
      <c r="AB61" t="s">
        <v>451</v>
      </c>
      <c r="AC61">
        <v>1</v>
      </c>
      <c r="AD61">
        <v>0</v>
      </c>
      <c r="AE61">
        <v>300</v>
      </c>
      <c r="AF61">
        <v>0</v>
      </c>
      <c r="AG61">
        <v>-75</v>
      </c>
      <c r="AH61">
        <v>75</v>
      </c>
      <c r="AI61">
        <v>-90</v>
      </c>
      <c r="AJ61">
        <v>90</v>
      </c>
      <c r="AO61">
        <v>5</v>
      </c>
      <c r="AP61">
        <v>1</v>
      </c>
      <c r="BA61">
        <v>1</v>
      </c>
      <c r="BB61">
        <v>0.11</v>
      </c>
      <c r="BD61">
        <v>0.5</v>
      </c>
    </row>
    <row r="62" spans="1:65" x14ac:dyDescent="0.25">
      <c r="A62" t="s">
        <v>258</v>
      </c>
      <c r="B62" t="s">
        <v>167</v>
      </c>
      <c r="C62" t="s">
        <v>387</v>
      </c>
      <c r="D62" t="s">
        <v>388</v>
      </c>
      <c r="E62">
        <v>50</v>
      </c>
      <c r="F62">
        <v>50</v>
      </c>
      <c r="G62" t="s">
        <v>390</v>
      </c>
      <c r="H62" t="s">
        <v>393</v>
      </c>
      <c r="I62" t="s">
        <v>417</v>
      </c>
      <c r="J62" t="s">
        <v>392</v>
      </c>
      <c r="K62">
        <v>0</v>
      </c>
      <c r="L62">
        <v>1000</v>
      </c>
      <c r="M62">
        <v>0</v>
      </c>
      <c r="N62">
        <v>0.4</v>
      </c>
      <c r="O62">
        <v>0</v>
      </c>
      <c r="P62">
        <v>0</v>
      </c>
      <c r="Q62">
        <v>1</v>
      </c>
      <c r="R62">
        <v>1</v>
      </c>
      <c r="S62">
        <v>1</v>
      </c>
      <c r="T62">
        <v>0.7</v>
      </c>
      <c r="U62">
        <v>1.5</v>
      </c>
      <c r="V62">
        <v>1</v>
      </c>
      <c r="W62">
        <v>1</v>
      </c>
      <c r="X62">
        <v>1</v>
      </c>
      <c r="Y62">
        <v>120</v>
      </c>
      <c r="Z62">
        <v>120</v>
      </c>
      <c r="AA62">
        <v>0.1</v>
      </c>
      <c r="AB62" s="2" t="s">
        <v>374</v>
      </c>
      <c r="AC62">
        <v>1</v>
      </c>
      <c r="AD62">
        <v>0</v>
      </c>
      <c r="AE62">
        <v>300</v>
      </c>
      <c r="AF62">
        <v>0</v>
      </c>
      <c r="AG62">
        <v>-75</v>
      </c>
      <c r="AH62">
        <v>75</v>
      </c>
      <c r="AI62">
        <v>-90</v>
      </c>
      <c r="AJ62">
        <v>90</v>
      </c>
      <c r="AO62">
        <v>5</v>
      </c>
      <c r="AP62">
        <v>1</v>
      </c>
      <c r="AQ62" s="2">
        <v>0.25</v>
      </c>
      <c r="AZ62" s="2">
        <v>0.25</v>
      </c>
      <c r="BA62">
        <v>1</v>
      </c>
      <c r="BB62" s="2">
        <v>0.05</v>
      </c>
      <c r="BC62" s="2">
        <v>0.05</v>
      </c>
      <c r="BD62">
        <v>0.5</v>
      </c>
      <c r="BE62" s="2">
        <v>0.5</v>
      </c>
    </row>
    <row r="63" spans="1:65" hidden="1" x14ac:dyDescent="0.25">
      <c r="A63" t="s">
        <v>259</v>
      </c>
      <c r="B63" t="s">
        <v>482</v>
      </c>
      <c r="C63" t="s">
        <v>387</v>
      </c>
      <c r="D63" t="s">
        <v>388</v>
      </c>
      <c r="E63">
        <v>10</v>
      </c>
      <c r="F63">
        <v>10</v>
      </c>
      <c r="G63" t="s">
        <v>383</v>
      </c>
      <c r="H63" t="s">
        <v>384</v>
      </c>
      <c r="I63" t="s">
        <v>407</v>
      </c>
      <c r="J63" t="s">
        <v>392</v>
      </c>
      <c r="K63">
        <v>900</v>
      </c>
      <c r="L63">
        <v>400</v>
      </c>
      <c r="M63">
        <v>0</v>
      </c>
      <c r="N63">
        <v>0</v>
      </c>
      <c r="O63">
        <v>0</v>
      </c>
      <c r="P63">
        <v>0</v>
      </c>
      <c r="Q63">
        <v>1</v>
      </c>
      <c r="R63">
        <v>1</v>
      </c>
      <c r="S63">
        <v>0</v>
      </c>
      <c r="T63">
        <v>0.6</v>
      </c>
      <c r="U63">
        <v>1.3</v>
      </c>
      <c r="V63">
        <v>1.8</v>
      </c>
      <c r="W63">
        <v>0</v>
      </c>
      <c r="X63">
        <v>0</v>
      </c>
      <c r="Y63">
        <v>0</v>
      </c>
      <c r="Z63">
        <v>0</v>
      </c>
      <c r="AA63">
        <v>0.1</v>
      </c>
      <c r="AB63" t="s">
        <v>451</v>
      </c>
      <c r="AC63">
        <v>0</v>
      </c>
      <c r="AD63">
        <v>0</v>
      </c>
      <c r="AE63">
        <v>0</v>
      </c>
      <c r="AO63">
        <v>5</v>
      </c>
      <c r="AP63">
        <v>1</v>
      </c>
      <c r="BA63">
        <v>1</v>
      </c>
      <c r="BB63">
        <v>0.04</v>
      </c>
      <c r="BD63">
        <v>0.15</v>
      </c>
    </row>
    <row r="64" spans="1:65" x14ac:dyDescent="0.25">
      <c r="A64" t="s">
        <v>259</v>
      </c>
      <c r="B64" t="s">
        <v>167</v>
      </c>
      <c r="C64" t="s">
        <v>387</v>
      </c>
      <c r="D64" t="s">
        <v>388</v>
      </c>
      <c r="E64">
        <v>10</v>
      </c>
      <c r="F64">
        <v>10</v>
      </c>
      <c r="G64" t="s">
        <v>383</v>
      </c>
      <c r="H64" t="s">
        <v>384</v>
      </c>
      <c r="I64" t="s">
        <v>407</v>
      </c>
      <c r="J64" t="s">
        <v>392</v>
      </c>
      <c r="K64">
        <v>900</v>
      </c>
      <c r="L64">
        <v>400</v>
      </c>
      <c r="M64">
        <v>0</v>
      </c>
      <c r="N64">
        <v>0</v>
      </c>
      <c r="O64">
        <v>0</v>
      </c>
      <c r="P64">
        <v>0</v>
      </c>
      <c r="Q64">
        <v>1</v>
      </c>
      <c r="R64">
        <v>1</v>
      </c>
      <c r="S64">
        <v>0</v>
      </c>
      <c r="T64">
        <v>0.6</v>
      </c>
      <c r="U64">
        <v>1.3</v>
      </c>
      <c r="V64">
        <v>1.8</v>
      </c>
      <c r="W64">
        <v>0</v>
      </c>
      <c r="X64">
        <v>0</v>
      </c>
      <c r="Y64">
        <v>0</v>
      </c>
      <c r="Z64">
        <v>0</v>
      </c>
      <c r="AA64">
        <v>0.1</v>
      </c>
      <c r="AB64" s="2" t="s">
        <v>374</v>
      </c>
      <c r="AC64">
        <v>0</v>
      </c>
      <c r="AD64">
        <v>0</v>
      </c>
      <c r="AE64">
        <v>0</v>
      </c>
      <c r="AO64">
        <v>5</v>
      </c>
      <c r="AP64">
        <v>1</v>
      </c>
      <c r="BA64">
        <v>1</v>
      </c>
      <c r="BB64">
        <v>0.04</v>
      </c>
      <c r="BD64">
        <v>0.15</v>
      </c>
    </row>
    <row r="65" spans="1:63" hidden="1" x14ac:dyDescent="0.25">
      <c r="A65" t="s">
        <v>260</v>
      </c>
      <c r="B65" t="s">
        <v>482</v>
      </c>
      <c r="C65" t="s">
        <v>387</v>
      </c>
      <c r="D65" t="s">
        <v>409</v>
      </c>
      <c r="E65">
        <v>0</v>
      </c>
      <c r="F65">
        <v>0</v>
      </c>
      <c r="G65" t="s">
        <v>396</v>
      </c>
      <c r="H65" t="s">
        <v>384</v>
      </c>
      <c r="I65" t="s">
        <v>385</v>
      </c>
      <c r="J65" t="s">
        <v>386</v>
      </c>
      <c r="K65">
        <v>900</v>
      </c>
      <c r="L65">
        <v>3000</v>
      </c>
      <c r="M65">
        <v>0</v>
      </c>
      <c r="N65">
        <v>0</v>
      </c>
      <c r="O65">
        <v>0</v>
      </c>
      <c r="P65">
        <v>0</v>
      </c>
      <c r="Q65">
        <v>1</v>
      </c>
      <c r="R65">
        <v>0</v>
      </c>
      <c r="S65">
        <v>0</v>
      </c>
      <c r="T65">
        <v>70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0.1</v>
      </c>
      <c r="AB65" t="s">
        <v>451</v>
      </c>
      <c r="AC65">
        <v>1</v>
      </c>
      <c r="AD65">
        <v>0</v>
      </c>
      <c r="AE65">
        <v>0</v>
      </c>
      <c r="AF65">
        <v>15</v>
      </c>
      <c r="AG65">
        <v>0</v>
      </c>
      <c r="AH65">
        <v>0</v>
      </c>
      <c r="AI65">
        <v>0</v>
      </c>
      <c r="AJ65">
        <v>0</v>
      </c>
      <c r="AK65" t="s">
        <v>410</v>
      </c>
      <c r="AL65" t="s">
        <v>409</v>
      </c>
      <c r="AM65">
        <v>0</v>
      </c>
      <c r="AN65">
        <v>0</v>
      </c>
      <c r="AO65">
        <v>5</v>
      </c>
      <c r="AP65">
        <v>1</v>
      </c>
      <c r="BA65">
        <v>1</v>
      </c>
      <c r="BB65">
        <v>0.05</v>
      </c>
      <c r="BD65">
        <v>0.15</v>
      </c>
    </row>
    <row r="66" spans="1:63" x14ac:dyDescent="0.25">
      <c r="A66" t="s">
        <v>260</v>
      </c>
      <c r="B66" t="s">
        <v>167</v>
      </c>
      <c r="C66" t="s">
        <v>387</v>
      </c>
      <c r="D66" t="s">
        <v>409</v>
      </c>
      <c r="E66">
        <v>0</v>
      </c>
      <c r="F66">
        <v>0</v>
      </c>
      <c r="G66" t="s">
        <v>396</v>
      </c>
      <c r="H66" t="s">
        <v>384</v>
      </c>
      <c r="I66" t="s">
        <v>385</v>
      </c>
      <c r="J66" t="s">
        <v>386</v>
      </c>
      <c r="K66">
        <v>900</v>
      </c>
      <c r="L66">
        <v>3000</v>
      </c>
      <c r="M66">
        <v>0</v>
      </c>
      <c r="N66">
        <v>0</v>
      </c>
      <c r="O66">
        <v>0</v>
      </c>
      <c r="P66">
        <v>0</v>
      </c>
      <c r="Q66">
        <v>1</v>
      </c>
      <c r="R66">
        <v>0</v>
      </c>
      <c r="S66">
        <v>0</v>
      </c>
      <c r="T66">
        <v>70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0.1</v>
      </c>
      <c r="AB66" s="2" t="s">
        <v>374</v>
      </c>
      <c r="AC66">
        <v>1</v>
      </c>
      <c r="AD66">
        <v>0</v>
      </c>
      <c r="AE66">
        <v>0</v>
      </c>
      <c r="AF66">
        <v>15</v>
      </c>
      <c r="AG66">
        <v>0</v>
      </c>
      <c r="AH66">
        <v>0</v>
      </c>
      <c r="AI66">
        <v>0</v>
      </c>
      <c r="AJ66">
        <v>0</v>
      </c>
      <c r="AK66" t="s">
        <v>410</v>
      </c>
      <c r="AL66" t="s">
        <v>409</v>
      </c>
      <c r="AM66">
        <v>0</v>
      </c>
      <c r="AN66">
        <v>0</v>
      </c>
      <c r="AO66">
        <v>5</v>
      </c>
      <c r="AP66">
        <v>1</v>
      </c>
      <c r="BA66">
        <v>1</v>
      </c>
      <c r="BB66">
        <v>0.05</v>
      </c>
      <c r="BC66" s="2">
        <v>0.05</v>
      </c>
      <c r="BD66">
        <v>0.15</v>
      </c>
      <c r="BE66" s="2">
        <v>0.15</v>
      </c>
    </row>
    <row r="67" spans="1:63" hidden="1" x14ac:dyDescent="0.25">
      <c r="A67" t="s">
        <v>261</v>
      </c>
      <c r="B67" t="s">
        <v>482</v>
      </c>
      <c r="C67" t="s">
        <v>387</v>
      </c>
      <c r="D67" t="s">
        <v>419</v>
      </c>
      <c r="E67">
        <v>35</v>
      </c>
      <c r="F67">
        <v>35</v>
      </c>
      <c r="G67" t="s">
        <v>396</v>
      </c>
      <c r="H67" t="s">
        <v>400</v>
      </c>
      <c r="I67" t="s">
        <v>418</v>
      </c>
      <c r="J67" t="s">
        <v>392</v>
      </c>
      <c r="K67">
        <v>0</v>
      </c>
      <c r="L67">
        <v>0</v>
      </c>
      <c r="M67">
        <v>500</v>
      </c>
      <c r="N67">
        <v>2</v>
      </c>
      <c r="O67">
        <v>0</v>
      </c>
      <c r="P67">
        <v>0</v>
      </c>
      <c r="Q67">
        <v>10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0.1</v>
      </c>
      <c r="AB67" t="s">
        <v>451</v>
      </c>
      <c r="AC67">
        <v>1</v>
      </c>
      <c r="AD67">
        <v>0</v>
      </c>
      <c r="AE67">
        <v>0</v>
      </c>
      <c r="AO67">
        <v>5</v>
      </c>
      <c r="AP67">
        <v>1</v>
      </c>
    </row>
    <row r="68" spans="1:63" x14ac:dyDescent="0.25">
      <c r="A68" t="s">
        <v>261</v>
      </c>
      <c r="B68" t="s">
        <v>167</v>
      </c>
      <c r="C68" t="s">
        <v>387</v>
      </c>
      <c r="D68" t="s">
        <v>419</v>
      </c>
      <c r="E68">
        <v>35</v>
      </c>
      <c r="F68">
        <v>35</v>
      </c>
      <c r="G68" t="s">
        <v>396</v>
      </c>
      <c r="H68" t="s">
        <v>400</v>
      </c>
      <c r="I68" t="s">
        <v>418</v>
      </c>
      <c r="J68" t="s">
        <v>392</v>
      </c>
      <c r="K68">
        <v>0</v>
      </c>
      <c r="L68">
        <v>0</v>
      </c>
      <c r="M68">
        <v>500</v>
      </c>
      <c r="N68">
        <v>2</v>
      </c>
      <c r="O68">
        <v>0</v>
      </c>
      <c r="P68">
        <v>0</v>
      </c>
      <c r="Q68">
        <v>10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0.1</v>
      </c>
      <c r="AB68" s="2" t="s">
        <v>374</v>
      </c>
      <c r="AC68">
        <v>1</v>
      </c>
      <c r="AD68">
        <v>0</v>
      </c>
      <c r="AE68">
        <v>0</v>
      </c>
      <c r="AO68">
        <v>5</v>
      </c>
      <c r="AP68">
        <v>1</v>
      </c>
    </row>
    <row r="69" spans="1:63" hidden="1" x14ac:dyDescent="0.25">
      <c r="A69" t="s">
        <v>262</v>
      </c>
      <c r="B69" t="s">
        <v>482</v>
      </c>
      <c r="C69" t="s">
        <v>387</v>
      </c>
      <c r="D69" t="s">
        <v>388</v>
      </c>
      <c r="E69">
        <v>5</v>
      </c>
      <c r="F69">
        <v>5</v>
      </c>
      <c r="G69" t="s">
        <v>383</v>
      </c>
      <c r="H69" t="s">
        <v>384</v>
      </c>
      <c r="I69" t="s">
        <v>416</v>
      </c>
      <c r="J69" t="s">
        <v>392</v>
      </c>
      <c r="K69">
        <v>2500</v>
      </c>
      <c r="L69">
        <v>2200</v>
      </c>
      <c r="M69">
        <v>0</v>
      </c>
      <c r="N69">
        <v>0</v>
      </c>
      <c r="O69">
        <v>0</v>
      </c>
      <c r="P69">
        <v>0</v>
      </c>
      <c r="Q69">
        <v>1</v>
      </c>
      <c r="R69">
        <v>1</v>
      </c>
      <c r="S69">
        <v>0</v>
      </c>
      <c r="T69">
        <v>0.25</v>
      </c>
      <c r="U69">
        <v>0</v>
      </c>
      <c r="V69">
        <v>0</v>
      </c>
      <c r="W69">
        <v>1</v>
      </c>
      <c r="X69">
        <v>0</v>
      </c>
      <c r="Y69">
        <v>0</v>
      </c>
      <c r="Z69">
        <v>0</v>
      </c>
      <c r="AA69">
        <v>0.1</v>
      </c>
      <c r="AB69" t="s">
        <v>451</v>
      </c>
      <c r="AC69">
        <v>0</v>
      </c>
      <c r="AD69">
        <v>0</v>
      </c>
      <c r="AE69">
        <v>0</v>
      </c>
      <c r="AF69">
        <v>90</v>
      </c>
      <c r="AG69">
        <v>0</v>
      </c>
      <c r="AH69">
        <v>0</v>
      </c>
      <c r="AI69">
        <v>0</v>
      </c>
      <c r="AJ69">
        <v>0</v>
      </c>
      <c r="AO69">
        <v>5</v>
      </c>
      <c r="AP69">
        <v>1</v>
      </c>
      <c r="BA69">
        <v>1</v>
      </c>
      <c r="BB69">
        <v>0.03</v>
      </c>
      <c r="BD69">
        <v>0.4</v>
      </c>
    </row>
    <row r="70" spans="1:63" x14ac:dyDescent="0.25">
      <c r="A70" t="s">
        <v>262</v>
      </c>
      <c r="B70" t="s">
        <v>167</v>
      </c>
      <c r="C70" t="s">
        <v>387</v>
      </c>
      <c r="D70" t="s">
        <v>388</v>
      </c>
      <c r="E70">
        <v>5</v>
      </c>
      <c r="F70">
        <v>5</v>
      </c>
      <c r="G70" t="s">
        <v>383</v>
      </c>
      <c r="H70" t="s">
        <v>384</v>
      </c>
      <c r="I70" t="s">
        <v>416</v>
      </c>
      <c r="J70" t="s">
        <v>392</v>
      </c>
      <c r="K70">
        <v>2500</v>
      </c>
      <c r="L70">
        <v>2200</v>
      </c>
      <c r="M70">
        <v>0</v>
      </c>
      <c r="N70">
        <v>0</v>
      </c>
      <c r="O70">
        <v>0</v>
      </c>
      <c r="P70">
        <v>0</v>
      </c>
      <c r="Q70">
        <v>1</v>
      </c>
      <c r="R70">
        <v>1</v>
      </c>
      <c r="S70">
        <v>0</v>
      </c>
      <c r="T70">
        <v>0.25</v>
      </c>
      <c r="U70">
        <v>0</v>
      </c>
      <c r="V70">
        <v>0</v>
      </c>
      <c r="W70">
        <v>1</v>
      </c>
      <c r="X70">
        <v>0</v>
      </c>
      <c r="Y70">
        <v>0</v>
      </c>
      <c r="Z70">
        <v>0</v>
      </c>
      <c r="AA70">
        <v>0.1</v>
      </c>
      <c r="AB70" s="2" t="s">
        <v>374</v>
      </c>
      <c r="AC70">
        <v>0</v>
      </c>
      <c r="AD70">
        <v>0</v>
      </c>
      <c r="AE70">
        <v>0</v>
      </c>
      <c r="AF70">
        <v>90</v>
      </c>
      <c r="AG70">
        <v>0</v>
      </c>
      <c r="AH70">
        <v>0</v>
      </c>
      <c r="AI70">
        <v>0</v>
      </c>
      <c r="AJ70">
        <v>0</v>
      </c>
      <c r="AO70">
        <v>5</v>
      </c>
      <c r="AP70">
        <v>1</v>
      </c>
      <c r="BA70">
        <v>1</v>
      </c>
      <c r="BB70">
        <v>0.03</v>
      </c>
      <c r="BD70">
        <v>0.4</v>
      </c>
    </row>
    <row r="71" spans="1:63" hidden="1" x14ac:dyDescent="0.25">
      <c r="A71" t="s">
        <v>263</v>
      </c>
      <c r="B71" t="s">
        <v>482</v>
      </c>
      <c r="C71" t="s">
        <v>387</v>
      </c>
      <c r="D71" t="s">
        <v>388</v>
      </c>
      <c r="E71">
        <v>380</v>
      </c>
      <c r="F71">
        <v>380</v>
      </c>
      <c r="G71" t="s">
        <v>396</v>
      </c>
      <c r="H71" t="s">
        <v>397</v>
      </c>
      <c r="I71" t="s">
        <v>402</v>
      </c>
      <c r="J71" t="s">
        <v>399</v>
      </c>
      <c r="K71">
        <v>120</v>
      </c>
      <c r="L71">
        <v>4500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1</v>
      </c>
      <c r="T71">
        <v>15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0.1</v>
      </c>
      <c r="AB71" t="s">
        <v>451</v>
      </c>
      <c r="AC71">
        <v>0</v>
      </c>
      <c r="AD71">
        <v>0</v>
      </c>
      <c r="AE71">
        <v>0</v>
      </c>
      <c r="AF71">
        <v>179</v>
      </c>
      <c r="AG71">
        <v>0</v>
      </c>
      <c r="AH71">
        <v>0</v>
      </c>
      <c r="AI71">
        <v>0</v>
      </c>
      <c r="AJ71">
        <v>0</v>
      </c>
      <c r="AO71">
        <v>5</v>
      </c>
      <c r="AP71">
        <v>0.5</v>
      </c>
      <c r="AS71">
        <v>0.8</v>
      </c>
      <c r="AX71">
        <v>0.6</v>
      </c>
      <c r="BA71">
        <v>1</v>
      </c>
    </row>
    <row r="72" spans="1:63" x14ac:dyDescent="0.25">
      <c r="A72" t="s">
        <v>263</v>
      </c>
      <c r="B72" t="s">
        <v>167</v>
      </c>
      <c r="C72" t="s">
        <v>387</v>
      </c>
      <c r="D72" t="s">
        <v>388</v>
      </c>
      <c r="E72">
        <v>380</v>
      </c>
      <c r="F72">
        <v>380</v>
      </c>
      <c r="G72" t="s">
        <v>396</v>
      </c>
      <c r="H72" t="s">
        <v>397</v>
      </c>
      <c r="I72" t="s">
        <v>402</v>
      </c>
      <c r="J72" t="s">
        <v>399</v>
      </c>
      <c r="K72">
        <v>120</v>
      </c>
      <c r="L72">
        <v>4500</v>
      </c>
      <c r="M72">
        <v>0</v>
      </c>
      <c r="N72">
        <v>0</v>
      </c>
      <c r="O72">
        <v>0</v>
      </c>
      <c r="P72">
        <v>0</v>
      </c>
      <c r="Q72">
        <v>1</v>
      </c>
      <c r="R72">
        <v>0</v>
      </c>
      <c r="S72">
        <v>1</v>
      </c>
      <c r="T72">
        <v>15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0.1</v>
      </c>
      <c r="AB72" s="2" t="s">
        <v>374</v>
      </c>
      <c r="AC72">
        <v>0</v>
      </c>
      <c r="AD72">
        <v>0</v>
      </c>
      <c r="AE72">
        <v>0</v>
      </c>
      <c r="AF72">
        <v>179</v>
      </c>
      <c r="AG72">
        <v>0</v>
      </c>
      <c r="AH72">
        <v>0</v>
      </c>
      <c r="AI72">
        <v>0</v>
      </c>
      <c r="AJ72">
        <v>0</v>
      </c>
      <c r="AO72">
        <v>5</v>
      </c>
      <c r="AP72">
        <v>0.5</v>
      </c>
      <c r="AS72">
        <v>0.8</v>
      </c>
      <c r="AT72" s="2">
        <v>0.8</v>
      </c>
      <c r="AX72">
        <v>0.6</v>
      </c>
      <c r="BA72">
        <v>1</v>
      </c>
    </row>
    <row r="73" spans="1:63" hidden="1" x14ac:dyDescent="0.25">
      <c r="A73" t="s">
        <v>264</v>
      </c>
      <c r="B73" t="s">
        <v>482</v>
      </c>
      <c r="C73" t="s">
        <v>387</v>
      </c>
      <c r="D73" t="s">
        <v>388</v>
      </c>
      <c r="E73">
        <v>1000</v>
      </c>
      <c r="F73">
        <v>1000</v>
      </c>
      <c r="G73" t="s">
        <v>390</v>
      </c>
      <c r="H73" t="s">
        <v>397</v>
      </c>
      <c r="I73" t="s">
        <v>420</v>
      </c>
      <c r="J73" t="s">
        <v>392</v>
      </c>
      <c r="K73">
        <v>40</v>
      </c>
      <c r="L73">
        <v>2000</v>
      </c>
      <c r="M73">
        <v>0</v>
      </c>
      <c r="N73">
        <v>0</v>
      </c>
      <c r="O73">
        <v>0</v>
      </c>
      <c r="P73">
        <v>0</v>
      </c>
      <c r="Q73">
        <v>1</v>
      </c>
      <c r="R73">
        <v>1</v>
      </c>
      <c r="S73">
        <v>0</v>
      </c>
      <c r="T73">
        <v>10</v>
      </c>
      <c r="U73">
        <v>0</v>
      </c>
      <c r="V73">
        <v>0</v>
      </c>
      <c r="W73">
        <v>1</v>
      </c>
      <c r="X73">
        <v>0</v>
      </c>
      <c r="Y73">
        <v>0</v>
      </c>
      <c r="Z73">
        <v>0</v>
      </c>
      <c r="AA73">
        <v>0.1</v>
      </c>
      <c r="AB73" t="s">
        <v>451</v>
      </c>
      <c r="AC73">
        <v>0</v>
      </c>
      <c r="AD73">
        <v>0</v>
      </c>
      <c r="AE73">
        <v>0</v>
      </c>
      <c r="AF73">
        <v>0</v>
      </c>
      <c r="AG73">
        <v>-180</v>
      </c>
      <c r="AH73">
        <v>180</v>
      </c>
      <c r="AI73">
        <v>-10</v>
      </c>
      <c r="AJ73">
        <v>60</v>
      </c>
      <c r="AO73">
        <v>5</v>
      </c>
      <c r="AP73">
        <v>1</v>
      </c>
      <c r="BA73">
        <v>1</v>
      </c>
    </row>
    <row r="74" spans="1:63" x14ac:dyDescent="0.25">
      <c r="A74" t="s">
        <v>264</v>
      </c>
      <c r="B74" t="s">
        <v>167</v>
      </c>
      <c r="C74" t="s">
        <v>387</v>
      </c>
      <c r="D74" t="s">
        <v>388</v>
      </c>
      <c r="E74">
        <v>1000</v>
      </c>
      <c r="F74">
        <v>1000</v>
      </c>
      <c r="G74" t="s">
        <v>390</v>
      </c>
      <c r="H74" t="s">
        <v>397</v>
      </c>
      <c r="I74" t="s">
        <v>420</v>
      </c>
      <c r="J74" t="s">
        <v>392</v>
      </c>
      <c r="K74">
        <v>40</v>
      </c>
      <c r="L74">
        <v>2000</v>
      </c>
      <c r="M74">
        <v>0</v>
      </c>
      <c r="N74">
        <v>0</v>
      </c>
      <c r="O74">
        <v>0</v>
      </c>
      <c r="P74">
        <v>0</v>
      </c>
      <c r="Q74">
        <v>1</v>
      </c>
      <c r="R74">
        <v>1</v>
      </c>
      <c r="S74">
        <v>0</v>
      </c>
      <c r="T74">
        <v>10</v>
      </c>
      <c r="U74">
        <v>0</v>
      </c>
      <c r="V74">
        <v>0</v>
      </c>
      <c r="W74">
        <v>1</v>
      </c>
      <c r="X74">
        <v>0</v>
      </c>
      <c r="Y74">
        <v>0</v>
      </c>
      <c r="Z74">
        <v>0</v>
      </c>
      <c r="AA74">
        <v>0.1</v>
      </c>
      <c r="AB74" s="2" t="s">
        <v>374</v>
      </c>
      <c r="AC74">
        <v>0</v>
      </c>
      <c r="AD74">
        <v>0</v>
      </c>
      <c r="AE74">
        <v>0</v>
      </c>
      <c r="AF74">
        <v>0</v>
      </c>
      <c r="AG74">
        <v>-180</v>
      </c>
      <c r="AH74">
        <v>180</v>
      </c>
      <c r="AI74">
        <v>-10</v>
      </c>
      <c r="AJ74">
        <v>60</v>
      </c>
      <c r="AO74">
        <v>5</v>
      </c>
      <c r="AP74">
        <v>1</v>
      </c>
      <c r="BA74">
        <v>1</v>
      </c>
    </row>
    <row r="75" spans="1:63" hidden="1" x14ac:dyDescent="0.25">
      <c r="A75" t="s">
        <v>265</v>
      </c>
      <c r="B75" t="s">
        <v>482</v>
      </c>
      <c r="C75" t="s">
        <v>387</v>
      </c>
      <c r="D75" t="s">
        <v>388</v>
      </c>
      <c r="E75">
        <v>2</v>
      </c>
      <c r="F75">
        <v>2</v>
      </c>
      <c r="G75" t="s">
        <v>383</v>
      </c>
      <c r="H75" t="s">
        <v>384</v>
      </c>
      <c r="I75" t="s">
        <v>416</v>
      </c>
      <c r="J75" t="s">
        <v>392</v>
      </c>
      <c r="K75">
        <v>2500</v>
      </c>
      <c r="L75">
        <v>2200</v>
      </c>
      <c r="M75">
        <v>0</v>
      </c>
      <c r="N75">
        <v>0</v>
      </c>
      <c r="O75">
        <v>0</v>
      </c>
      <c r="P75">
        <v>0</v>
      </c>
      <c r="Q75">
        <v>1</v>
      </c>
      <c r="R75">
        <v>1</v>
      </c>
      <c r="S75">
        <v>0</v>
      </c>
      <c r="T75">
        <v>1.8</v>
      </c>
      <c r="U75">
        <v>0</v>
      </c>
      <c r="V75">
        <v>0</v>
      </c>
      <c r="W75">
        <v>1</v>
      </c>
      <c r="X75">
        <v>0</v>
      </c>
      <c r="Y75">
        <v>0</v>
      </c>
      <c r="Z75">
        <v>0</v>
      </c>
      <c r="AA75">
        <v>0.1</v>
      </c>
      <c r="AB75" t="s">
        <v>451</v>
      </c>
      <c r="AC75">
        <v>0</v>
      </c>
      <c r="AD75">
        <v>0</v>
      </c>
      <c r="AE75">
        <v>0</v>
      </c>
      <c r="AF75">
        <v>110</v>
      </c>
      <c r="AG75">
        <v>0</v>
      </c>
      <c r="AH75">
        <v>0</v>
      </c>
      <c r="AI75">
        <v>0</v>
      </c>
      <c r="AJ75">
        <v>0</v>
      </c>
      <c r="AO75">
        <v>5</v>
      </c>
      <c r="AP75">
        <v>1</v>
      </c>
      <c r="BA75">
        <v>1</v>
      </c>
      <c r="BB75">
        <v>0.03</v>
      </c>
      <c r="BD75">
        <v>0.4</v>
      </c>
    </row>
    <row r="76" spans="1:63" x14ac:dyDescent="0.25">
      <c r="A76" t="s">
        <v>265</v>
      </c>
      <c r="B76" t="s">
        <v>167</v>
      </c>
      <c r="C76" t="s">
        <v>387</v>
      </c>
      <c r="D76" t="s">
        <v>388</v>
      </c>
      <c r="E76">
        <v>2</v>
      </c>
      <c r="F76">
        <v>2</v>
      </c>
      <c r="G76" t="s">
        <v>383</v>
      </c>
      <c r="H76" t="s">
        <v>384</v>
      </c>
      <c r="I76" t="s">
        <v>416</v>
      </c>
      <c r="J76" t="s">
        <v>392</v>
      </c>
      <c r="K76">
        <v>2500</v>
      </c>
      <c r="L76">
        <v>2200</v>
      </c>
      <c r="M76">
        <v>0</v>
      </c>
      <c r="N76">
        <v>0</v>
      </c>
      <c r="O76">
        <v>0</v>
      </c>
      <c r="P76">
        <v>0</v>
      </c>
      <c r="Q76">
        <v>1</v>
      </c>
      <c r="R76">
        <v>1</v>
      </c>
      <c r="S76">
        <v>0</v>
      </c>
      <c r="T76">
        <v>1.8</v>
      </c>
      <c r="U76">
        <v>0</v>
      </c>
      <c r="V76">
        <v>0</v>
      </c>
      <c r="W76">
        <v>1</v>
      </c>
      <c r="X76">
        <v>0</v>
      </c>
      <c r="Y76">
        <v>0</v>
      </c>
      <c r="Z76">
        <v>0</v>
      </c>
      <c r="AA76">
        <v>0.1</v>
      </c>
      <c r="AB76" s="2" t="s">
        <v>374</v>
      </c>
      <c r="AC76">
        <v>0</v>
      </c>
      <c r="AD76">
        <v>0</v>
      </c>
      <c r="AE76">
        <v>0</v>
      </c>
      <c r="AF76">
        <v>110</v>
      </c>
      <c r="AG76">
        <v>0</v>
      </c>
      <c r="AH76">
        <v>0</v>
      </c>
      <c r="AI76">
        <v>0</v>
      </c>
      <c r="AJ76">
        <v>0</v>
      </c>
      <c r="AO76">
        <v>5</v>
      </c>
      <c r="AP76">
        <v>1</v>
      </c>
      <c r="BA76">
        <v>1</v>
      </c>
      <c r="BB76">
        <v>0.03</v>
      </c>
      <c r="BD76">
        <v>0.4</v>
      </c>
    </row>
    <row r="77" spans="1:63" hidden="1" x14ac:dyDescent="0.25">
      <c r="A77" t="s">
        <v>266</v>
      </c>
      <c r="B77" t="s">
        <v>482</v>
      </c>
      <c r="C77" t="s">
        <v>387</v>
      </c>
      <c r="D77" t="s">
        <v>388</v>
      </c>
      <c r="E77">
        <v>42</v>
      </c>
      <c r="F77">
        <v>42</v>
      </c>
      <c r="G77" t="s">
        <v>390</v>
      </c>
      <c r="H77" t="s">
        <v>384</v>
      </c>
      <c r="I77" t="s">
        <v>414</v>
      </c>
      <c r="J77" t="s">
        <v>392</v>
      </c>
      <c r="K77">
        <v>1500</v>
      </c>
      <c r="L77">
        <v>1200</v>
      </c>
      <c r="M77">
        <v>0</v>
      </c>
      <c r="N77">
        <v>0</v>
      </c>
      <c r="O77">
        <v>0</v>
      </c>
      <c r="P77">
        <v>0</v>
      </c>
      <c r="Q77">
        <v>1</v>
      </c>
      <c r="R77">
        <v>1</v>
      </c>
      <c r="S77">
        <v>1</v>
      </c>
      <c r="T77">
        <v>3</v>
      </c>
      <c r="U77">
        <v>0</v>
      </c>
      <c r="V77">
        <v>0</v>
      </c>
      <c r="W77">
        <v>1</v>
      </c>
      <c r="X77">
        <v>0</v>
      </c>
      <c r="Y77">
        <v>60</v>
      </c>
      <c r="Z77">
        <v>60</v>
      </c>
      <c r="AA77">
        <v>0.1</v>
      </c>
      <c r="AB77" t="s">
        <v>451</v>
      </c>
      <c r="AC77">
        <v>1</v>
      </c>
      <c r="AD77">
        <v>0</v>
      </c>
      <c r="AE77">
        <v>0</v>
      </c>
      <c r="AF77">
        <v>0</v>
      </c>
      <c r="AG77">
        <v>-180</v>
      </c>
      <c r="AH77">
        <v>180</v>
      </c>
      <c r="AI77">
        <v>-10</v>
      </c>
      <c r="AJ77">
        <v>60</v>
      </c>
      <c r="AO77">
        <v>5</v>
      </c>
      <c r="AP77">
        <v>1</v>
      </c>
      <c r="AX77">
        <v>0.8</v>
      </c>
      <c r="BA77">
        <v>1</v>
      </c>
      <c r="BB77">
        <v>0.12</v>
      </c>
      <c r="BD77">
        <v>0.13</v>
      </c>
      <c r="BF77">
        <v>0.8</v>
      </c>
      <c r="BG77">
        <v>0.6</v>
      </c>
      <c r="BH77">
        <v>0.6</v>
      </c>
      <c r="BK77">
        <v>0.6</v>
      </c>
    </row>
    <row r="78" spans="1:63" x14ac:dyDescent="0.25">
      <c r="A78" t="s">
        <v>266</v>
      </c>
      <c r="B78" t="s">
        <v>167</v>
      </c>
      <c r="C78" t="s">
        <v>387</v>
      </c>
      <c r="D78" t="s">
        <v>388</v>
      </c>
      <c r="E78">
        <v>42</v>
      </c>
      <c r="F78">
        <v>42</v>
      </c>
      <c r="G78" t="s">
        <v>390</v>
      </c>
      <c r="H78" t="s">
        <v>384</v>
      </c>
      <c r="I78" t="s">
        <v>414</v>
      </c>
      <c r="J78" t="s">
        <v>392</v>
      </c>
      <c r="K78" s="2">
        <v>1550</v>
      </c>
      <c r="L78" s="2">
        <v>1375</v>
      </c>
      <c r="M78">
        <v>0</v>
      </c>
      <c r="N78">
        <v>0</v>
      </c>
      <c r="O78">
        <v>0</v>
      </c>
      <c r="P78">
        <v>0</v>
      </c>
      <c r="Q78">
        <v>1</v>
      </c>
      <c r="R78">
        <v>1</v>
      </c>
      <c r="S78">
        <v>1</v>
      </c>
      <c r="T78">
        <v>3</v>
      </c>
      <c r="U78">
        <v>0</v>
      </c>
      <c r="V78">
        <v>0</v>
      </c>
      <c r="W78">
        <v>1</v>
      </c>
      <c r="X78" s="2">
        <v>1</v>
      </c>
      <c r="Y78" s="2">
        <v>75</v>
      </c>
      <c r="Z78" s="2">
        <v>75</v>
      </c>
      <c r="AA78">
        <v>0.1</v>
      </c>
      <c r="AB78" s="2" t="s">
        <v>374</v>
      </c>
      <c r="AC78">
        <v>1</v>
      </c>
      <c r="AD78">
        <v>0</v>
      </c>
      <c r="AE78">
        <v>0</v>
      </c>
      <c r="AF78" s="2">
        <v>6</v>
      </c>
      <c r="AG78">
        <v>-180</v>
      </c>
      <c r="AH78">
        <v>180</v>
      </c>
      <c r="AI78" s="2">
        <v>-12</v>
      </c>
      <c r="AJ78" s="2">
        <v>65</v>
      </c>
      <c r="AO78">
        <v>5</v>
      </c>
      <c r="AP78">
        <v>1</v>
      </c>
      <c r="AR78" s="2">
        <v>2</v>
      </c>
      <c r="AU78" s="2">
        <v>1</v>
      </c>
      <c r="AX78">
        <v>0.8</v>
      </c>
      <c r="BA78">
        <v>1</v>
      </c>
      <c r="BB78">
        <v>0.12</v>
      </c>
      <c r="BC78" s="2">
        <v>0.24</v>
      </c>
      <c r="BD78" s="2">
        <v>0.13600000000000001</v>
      </c>
      <c r="BE78" s="2">
        <v>0.27200000000000002</v>
      </c>
      <c r="BF78">
        <v>0.8</v>
      </c>
      <c r="BG78">
        <v>0.6</v>
      </c>
      <c r="BH78">
        <v>0.6</v>
      </c>
      <c r="BK78">
        <v>0.6</v>
      </c>
    </row>
    <row r="79" spans="1:63" hidden="1" x14ac:dyDescent="0.25">
      <c r="A79" t="s">
        <v>267</v>
      </c>
      <c r="B79" t="s">
        <v>482</v>
      </c>
      <c r="C79" t="s">
        <v>387</v>
      </c>
      <c r="D79" t="s">
        <v>388</v>
      </c>
      <c r="E79">
        <v>100</v>
      </c>
      <c r="F79">
        <v>100</v>
      </c>
      <c r="G79" t="s">
        <v>390</v>
      </c>
      <c r="H79" t="s">
        <v>384</v>
      </c>
      <c r="I79" t="s">
        <v>414</v>
      </c>
      <c r="J79" t="s">
        <v>392</v>
      </c>
      <c r="K79">
        <v>3500</v>
      </c>
      <c r="L79">
        <v>4500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2.5</v>
      </c>
      <c r="U79">
        <v>0</v>
      </c>
      <c r="V79">
        <v>0</v>
      </c>
      <c r="W79">
        <v>1</v>
      </c>
      <c r="X79">
        <v>0</v>
      </c>
      <c r="Y79">
        <v>120</v>
      </c>
      <c r="Z79">
        <v>120</v>
      </c>
      <c r="AA79">
        <v>0.1</v>
      </c>
      <c r="AB79" t="s">
        <v>451</v>
      </c>
      <c r="AC79">
        <v>1</v>
      </c>
      <c r="AD79">
        <v>0</v>
      </c>
      <c r="AE79">
        <v>0</v>
      </c>
      <c r="AF79">
        <v>0</v>
      </c>
      <c r="AG79">
        <v>-180</v>
      </c>
      <c r="AH79">
        <v>180</v>
      </c>
      <c r="AI79">
        <v>-5</v>
      </c>
      <c r="AJ79">
        <v>89</v>
      </c>
      <c r="AO79">
        <v>5</v>
      </c>
      <c r="AP79">
        <v>1</v>
      </c>
      <c r="BA79">
        <v>1</v>
      </c>
      <c r="BB79">
        <v>0.08</v>
      </c>
      <c r="BD79">
        <v>0.2</v>
      </c>
      <c r="BF79">
        <v>0.6</v>
      </c>
      <c r="BG79">
        <v>0.6</v>
      </c>
      <c r="BH79">
        <v>0.6</v>
      </c>
      <c r="BK79">
        <v>0.6</v>
      </c>
    </row>
    <row r="80" spans="1:63" x14ac:dyDescent="0.25">
      <c r="A80" t="s">
        <v>267</v>
      </c>
      <c r="B80" t="s">
        <v>167</v>
      </c>
      <c r="C80" t="s">
        <v>387</v>
      </c>
      <c r="D80" t="s">
        <v>388</v>
      </c>
      <c r="E80">
        <v>100</v>
      </c>
      <c r="F80">
        <v>100</v>
      </c>
      <c r="G80" t="s">
        <v>390</v>
      </c>
      <c r="H80" t="s">
        <v>384</v>
      </c>
      <c r="I80" t="s">
        <v>414</v>
      </c>
      <c r="J80" t="s">
        <v>392</v>
      </c>
      <c r="K80">
        <v>3500</v>
      </c>
      <c r="L80">
        <v>4500</v>
      </c>
      <c r="M80">
        <v>0</v>
      </c>
      <c r="N80">
        <v>0</v>
      </c>
      <c r="O80">
        <v>0</v>
      </c>
      <c r="P80">
        <v>0</v>
      </c>
      <c r="Q80">
        <v>1</v>
      </c>
      <c r="R80">
        <v>1</v>
      </c>
      <c r="S80">
        <v>1</v>
      </c>
      <c r="T80" s="2">
        <v>2.4</v>
      </c>
      <c r="U80">
        <v>0</v>
      </c>
      <c r="V80">
        <v>0</v>
      </c>
      <c r="W80">
        <v>1</v>
      </c>
      <c r="X80">
        <v>0</v>
      </c>
      <c r="Y80">
        <v>120</v>
      </c>
      <c r="Z80">
        <v>120</v>
      </c>
      <c r="AA80">
        <v>0.1</v>
      </c>
      <c r="AB80" s="2" t="s">
        <v>374</v>
      </c>
      <c r="AC80">
        <v>1</v>
      </c>
      <c r="AD80">
        <v>0</v>
      </c>
      <c r="AE80">
        <v>0</v>
      </c>
      <c r="AF80">
        <v>0</v>
      </c>
      <c r="AG80">
        <v>-180</v>
      </c>
      <c r="AH80">
        <v>180</v>
      </c>
      <c r="AI80">
        <v>-5</v>
      </c>
      <c r="AJ80">
        <v>89</v>
      </c>
      <c r="AO80">
        <v>5</v>
      </c>
      <c r="AP80">
        <v>1</v>
      </c>
      <c r="BA80">
        <v>1</v>
      </c>
      <c r="BB80">
        <v>0.08</v>
      </c>
      <c r="BC80" s="2">
        <v>0.08</v>
      </c>
      <c r="BD80">
        <v>0.2</v>
      </c>
      <c r="BE80" s="2">
        <v>0.3</v>
      </c>
      <c r="BF80">
        <v>0.6</v>
      </c>
      <c r="BG80">
        <v>0.6</v>
      </c>
      <c r="BH80">
        <v>0.6</v>
      </c>
      <c r="BK80">
        <v>0.6</v>
      </c>
    </row>
    <row r="81" spans="1:64" hidden="1" x14ac:dyDescent="0.25">
      <c r="A81" t="s">
        <v>268</v>
      </c>
      <c r="B81" t="s">
        <v>482</v>
      </c>
      <c r="C81" t="s">
        <v>387</v>
      </c>
      <c r="D81" t="s">
        <v>388</v>
      </c>
      <c r="E81">
        <v>40</v>
      </c>
      <c r="F81">
        <v>40</v>
      </c>
      <c r="G81" t="s">
        <v>390</v>
      </c>
      <c r="H81" t="s">
        <v>384</v>
      </c>
      <c r="I81" t="s">
        <v>414</v>
      </c>
      <c r="J81" t="s">
        <v>392</v>
      </c>
      <c r="K81">
        <v>2200</v>
      </c>
      <c r="L81">
        <v>2800</v>
      </c>
      <c r="M81">
        <v>0</v>
      </c>
      <c r="N81">
        <v>0</v>
      </c>
      <c r="O81">
        <v>0</v>
      </c>
      <c r="P81">
        <v>0</v>
      </c>
      <c r="Q81">
        <v>1</v>
      </c>
      <c r="R81">
        <v>1</v>
      </c>
      <c r="S81">
        <v>1</v>
      </c>
      <c r="T81">
        <v>5</v>
      </c>
      <c r="U81">
        <v>0</v>
      </c>
      <c r="V81">
        <v>0</v>
      </c>
      <c r="W81">
        <v>1</v>
      </c>
      <c r="X81">
        <v>0</v>
      </c>
      <c r="Y81">
        <v>60</v>
      </c>
      <c r="Z81">
        <v>60</v>
      </c>
      <c r="AA81">
        <v>0.1</v>
      </c>
      <c r="AB81" t="s">
        <v>451</v>
      </c>
      <c r="AC81">
        <v>1</v>
      </c>
      <c r="AD81">
        <v>0</v>
      </c>
      <c r="AE81">
        <v>0</v>
      </c>
      <c r="AF81">
        <v>0</v>
      </c>
      <c r="AG81">
        <v>-180</v>
      </c>
      <c r="AH81">
        <v>180</v>
      </c>
      <c r="AI81">
        <v>-10</v>
      </c>
      <c r="AJ81">
        <v>60</v>
      </c>
      <c r="AO81">
        <v>5</v>
      </c>
      <c r="AP81">
        <v>1</v>
      </c>
      <c r="AX81">
        <v>0.25</v>
      </c>
      <c r="BA81">
        <v>1</v>
      </c>
      <c r="BB81">
        <v>0.16</v>
      </c>
      <c r="BD81">
        <v>0.2</v>
      </c>
    </row>
    <row r="82" spans="1:64" x14ac:dyDescent="0.25">
      <c r="A82" t="s">
        <v>268</v>
      </c>
      <c r="B82" t="s">
        <v>167</v>
      </c>
      <c r="C82" t="s">
        <v>387</v>
      </c>
      <c r="D82" t="s">
        <v>388</v>
      </c>
      <c r="E82">
        <v>40</v>
      </c>
      <c r="F82">
        <v>40</v>
      </c>
      <c r="G82" t="s">
        <v>390</v>
      </c>
      <c r="H82" t="s">
        <v>384</v>
      </c>
      <c r="I82" t="s">
        <v>414</v>
      </c>
      <c r="J82" t="s">
        <v>392</v>
      </c>
      <c r="K82">
        <v>2200</v>
      </c>
      <c r="L82" s="2">
        <v>2950</v>
      </c>
      <c r="M82">
        <v>0</v>
      </c>
      <c r="N82">
        <v>0</v>
      </c>
      <c r="O82">
        <v>0</v>
      </c>
      <c r="P82">
        <v>0</v>
      </c>
      <c r="Q82">
        <v>1</v>
      </c>
      <c r="R82">
        <v>1</v>
      </c>
      <c r="S82">
        <v>1</v>
      </c>
      <c r="T82">
        <v>5</v>
      </c>
      <c r="U82">
        <v>0</v>
      </c>
      <c r="V82">
        <v>0</v>
      </c>
      <c r="W82">
        <v>1</v>
      </c>
      <c r="X82">
        <v>0</v>
      </c>
      <c r="Y82">
        <v>60</v>
      </c>
      <c r="Z82">
        <v>60</v>
      </c>
      <c r="AA82">
        <v>0.1</v>
      </c>
      <c r="AB82" s="2" t="s">
        <v>374</v>
      </c>
      <c r="AC82">
        <v>1</v>
      </c>
      <c r="AD82">
        <v>0</v>
      </c>
      <c r="AE82">
        <v>0</v>
      </c>
      <c r="AF82" s="2">
        <v>5</v>
      </c>
      <c r="AG82">
        <v>-180</v>
      </c>
      <c r="AH82">
        <v>180</v>
      </c>
      <c r="AI82" s="2">
        <v>-12</v>
      </c>
      <c r="AJ82" s="2">
        <v>90</v>
      </c>
      <c r="AO82">
        <v>5</v>
      </c>
      <c r="AP82">
        <v>1</v>
      </c>
      <c r="AR82" s="2">
        <v>2.25</v>
      </c>
      <c r="AS82" s="2">
        <v>1.03</v>
      </c>
      <c r="AT82" s="2">
        <v>2.0499999999999998</v>
      </c>
      <c r="AX82">
        <v>0.25</v>
      </c>
      <c r="BA82">
        <v>1</v>
      </c>
      <c r="BB82">
        <v>0.16</v>
      </c>
      <c r="BC82" s="2">
        <v>0.35</v>
      </c>
      <c r="BD82">
        <v>0.2</v>
      </c>
      <c r="BE82" s="2">
        <v>0.3</v>
      </c>
    </row>
    <row r="83" spans="1:64" hidden="1" x14ac:dyDescent="0.25">
      <c r="A83" t="s">
        <v>269</v>
      </c>
      <c r="B83" t="s">
        <v>482</v>
      </c>
      <c r="C83" t="s">
        <v>387</v>
      </c>
      <c r="D83" t="s">
        <v>388</v>
      </c>
      <c r="E83">
        <v>300</v>
      </c>
      <c r="F83">
        <v>300</v>
      </c>
      <c r="G83" t="s">
        <v>390</v>
      </c>
      <c r="H83" t="s">
        <v>384</v>
      </c>
      <c r="I83" t="s">
        <v>414</v>
      </c>
      <c r="J83" t="s">
        <v>392</v>
      </c>
      <c r="K83">
        <v>1500</v>
      </c>
      <c r="L83">
        <v>2000</v>
      </c>
      <c r="M83">
        <v>0</v>
      </c>
      <c r="N83">
        <v>0</v>
      </c>
      <c r="O83">
        <v>0</v>
      </c>
      <c r="P83">
        <v>0</v>
      </c>
      <c r="Q83">
        <v>1</v>
      </c>
      <c r="R83">
        <v>1</v>
      </c>
      <c r="S83">
        <v>1</v>
      </c>
      <c r="T83">
        <v>1.2</v>
      </c>
      <c r="U83">
        <v>0</v>
      </c>
      <c r="V83">
        <v>0</v>
      </c>
      <c r="W83">
        <v>1</v>
      </c>
      <c r="X83">
        <v>0</v>
      </c>
      <c r="Y83">
        <v>120</v>
      </c>
      <c r="Z83">
        <v>120</v>
      </c>
      <c r="AA83">
        <v>0.1</v>
      </c>
      <c r="AB83" t="s">
        <v>451</v>
      </c>
      <c r="AC83">
        <v>1</v>
      </c>
      <c r="AD83">
        <v>0</v>
      </c>
      <c r="AE83">
        <v>0</v>
      </c>
      <c r="AF83">
        <v>0</v>
      </c>
      <c r="AG83">
        <v>-180</v>
      </c>
      <c r="AH83">
        <v>180</v>
      </c>
      <c r="AI83">
        <v>-5</v>
      </c>
      <c r="AJ83">
        <v>89</v>
      </c>
      <c r="AO83">
        <v>5</v>
      </c>
      <c r="AP83">
        <v>1</v>
      </c>
      <c r="BA83">
        <v>1</v>
      </c>
      <c r="BB83">
        <v>0.15</v>
      </c>
      <c r="BD83">
        <v>0.2</v>
      </c>
      <c r="BF83">
        <v>0.6</v>
      </c>
      <c r="BG83">
        <v>0.6</v>
      </c>
      <c r="BH83">
        <v>0.6</v>
      </c>
      <c r="BK83">
        <v>0.6</v>
      </c>
    </row>
    <row r="84" spans="1:64" x14ac:dyDescent="0.25">
      <c r="A84" t="s">
        <v>269</v>
      </c>
      <c r="B84" t="s">
        <v>167</v>
      </c>
      <c r="C84" t="s">
        <v>387</v>
      </c>
      <c r="D84" t="s">
        <v>388</v>
      </c>
      <c r="E84">
        <v>300</v>
      </c>
      <c r="F84">
        <v>300</v>
      </c>
      <c r="G84" t="s">
        <v>390</v>
      </c>
      <c r="H84" t="s">
        <v>384</v>
      </c>
      <c r="I84" t="s">
        <v>414</v>
      </c>
      <c r="J84" t="s">
        <v>392</v>
      </c>
      <c r="K84">
        <v>1500</v>
      </c>
      <c r="L84">
        <v>2000</v>
      </c>
      <c r="M84">
        <v>0</v>
      </c>
      <c r="N84">
        <v>0</v>
      </c>
      <c r="O84">
        <v>0</v>
      </c>
      <c r="P84">
        <v>0</v>
      </c>
      <c r="Q84">
        <v>1</v>
      </c>
      <c r="R84">
        <v>1</v>
      </c>
      <c r="S84">
        <v>1</v>
      </c>
      <c r="T84">
        <v>1.2</v>
      </c>
      <c r="U84">
        <v>0</v>
      </c>
      <c r="V84">
        <v>0</v>
      </c>
      <c r="W84">
        <v>1</v>
      </c>
      <c r="X84">
        <v>0</v>
      </c>
      <c r="Y84">
        <v>120</v>
      </c>
      <c r="Z84">
        <v>120</v>
      </c>
      <c r="AA84">
        <v>0.1</v>
      </c>
      <c r="AB84" s="2" t="s">
        <v>374</v>
      </c>
      <c r="AC84">
        <v>1</v>
      </c>
      <c r="AD84">
        <v>0</v>
      </c>
      <c r="AE84">
        <v>0</v>
      </c>
      <c r="AF84">
        <v>0</v>
      </c>
      <c r="AG84">
        <v>-180</v>
      </c>
      <c r="AH84">
        <v>180</v>
      </c>
      <c r="AI84">
        <v>-5</v>
      </c>
      <c r="AJ84">
        <v>89</v>
      </c>
      <c r="AO84">
        <v>5</v>
      </c>
      <c r="AP84">
        <v>1</v>
      </c>
      <c r="BA84">
        <v>1</v>
      </c>
      <c r="BB84">
        <v>0.15</v>
      </c>
      <c r="BD84">
        <v>0.2</v>
      </c>
      <c r="BF84">
        <v>0.6</v>
      </c>
      <c r="BG84">
        <v>0.6</v>
      </c>
      <c r="BH84">
        <v>0.6</v>
      </c>
      <c r="BK84">
        <v>0.6</v>
      </c>
    </row>
    <row r="85" spans="1:64" hidden="1" x14ac:dyDescent="0.25">
      <c r="A85" t="s">
        <v>270</v>
      </c>
      <c r="B85" t="s">
        <v>482</v>
      </c>
      <c r="C85" t="s">
        <v>387</v>
      </c>
      <c r="D85" t="s">
        <v>388</v>
      </c>
      <c r="E85">
        <v>10</v>
      </c>
      <c r="F85">
        <v>10</v>
      </c>
      <c r="G85" t="s">
        <v>390</v>
      </c>
      <c r="H85" t="s">
        <v>384</v>
      </c>
      <c r="I85" t="s">
        <v>414</v>
      </c>
      <c r="J85" t="s">
        <v>392</v>
      </c>
      <c r="K85">
        <v>1500</v>
      </c>
      <c r="L85">
        <v>2000</v>
      </c>
      <c r="M85">
        <v>0</v>
      </c>
      <c r="N85">
        <v>0</v>
      </c>
      <c r="O85">
        <v>0</v>
      </c>
      <c r="P85">
        <v>0</v>
      </c>
      <c r="Q85">
        <v>1</v>
      </c>
      <c r="R85">
        <v>1</v>
      </c>
      <c r="S85">
        <v>1</v>
      </c>
      <c r="T85">
        <v>1.2</v>
      </c>
      <c r="U85">
        <v>0</v>
      </c>
      <c r="V85">
        <v>0</v>
      </c>
      <c r="W85">
        <v>1</v>
      </c>
      <c r="X85">
        <v>0</v>
      </c>
      <c r="Y85">
        <v>120</v>
      </c>
      <c r="Z85">
        <v>120</v>
      </c>
      <c r="AA85">
        <v>0.1</v>
      </c>
      <c r="AB85" t="s">
        <v>451</v>
      </c>
      <c r="AC85">
        <v>1</v>
      </c>
      <c r="AD85">
        <v>0</v>
      </c>
      <c r="AE85">
        <v>0</v>
      </c>
      <c r="AF85">
        <v>0</v>
      </c>
      <c r="AG85">
        <v>-180</v>
      </c>
      <c r="AH85">
        <v>180</v>
      </c>
      <c r="AI85">
        <v>-40</v>
      </c>
      <c r="AJ85">
        <v>60</v>
      </c>
      <c r="AO85">
        <v>5</v>
      </c>
      <c r="AP85">
        <v>1</v>
      </c>
      <c r="BA85">
        <v>1</v>
      </c>
      <c r="BB85">
        <v>0.15</v>
      </c>
      <c r="BD85">
        <v>0.4</v>
      </c>
      <c r="BF85">
        <v>0.6</v>
      </c>
      <c r="BG85">
        <v>0.6</v>
      </c>
      <c r="BH85">
        <v>0.6</v>
      </c>
      <c r="BK85">
        <v>0.6</v>
      </c>
    </row>
    <row r="86" spans="1:64" x14ac:dyDescent="0.25">
      <c r="A86" t="s">
        <v>270</v>
      </c>
      <c r="B86" t="s">
        <v>167</v>
      </c>
      <c r="C86" t="s">
        <v>387</v>
      </c>
      <c r="D86" t="s">
        <v>388</v>
      </c>
      <c r="E86">
        <v>10</v>
      </c>
      <c r="F86">
        <v>10</v>
      </c>
      <c r="G86" t="s">
        <v>390</v>
      </c>
      <c r="H86" t="s">
        <v>384</v>
      </c>
      <c r="I86" t="s">
        <v>414</v>
      </c>
      <c r="J86" t="s">
        <v>392</v>
      </c>
      <c r="K86">
        <v>1500</v>
      </c>
      <c r="L86">
        <v>2000</v>
      </c>
      <c r="M86">
        <v>0</v>
      </c>
      <c r="N86">
        <v>0</v>
      </c>
      <c r="O86">
        <v>0</v>
      </c>
      <c r="P86">
        <v>0</v>
      </c>
      <c r="Q86">
        <v>1</v>
      </c>
      <c r="R86">
        <v>1</v>
      </c>
      <c r="S86">
        <v>1</v>
      </c>
      <c r="T86">
        <v>1.2</v>
      </c>
      <c r="U86">
        <v>0</v>
      </c>
      <c r="V86">
        <v>0</v>
      </c>
      <c r="W86">
        <v>1</v>
      </c>
      <c r="X86">
        <v>0</v>
      </c>
      <c r="Y86">
        <v>120</v>
      </c>
      <c r="Z86">
        <v>120</v>
      </c>
      <c r="AA86">
        <v>0.1</v>
      </c>
      <c r="AB86" s="2" t="s">
        <v>374</v>
      </c>
      <c r="AC86">
        <v>1</v>
      </c>
      <c r="AD86">
        <v>0</v>
      </c>
      <c r="AE86">
        <v>0</v>
      </c>
      <c r="AF86">
        <v>0</v>
      </c>
      <c r="AG86">
        <v>-180</v>
      </c>
      <c r="AH86">
        <v>180</v>
      </c>
      <c r="AI86">
        <v>-40</v>
      </c>
      <c r="AJ86">
        <v>60</v>
      </c>
      <c r="AO86">
        <v>5</v>
      </c>
      <c r="AP86">
        <v>1</v>
      </c>
      <c r="BA86">
        <v>1</v>
      </c>
      <c r="BB86">
        <v>0.15</v>
      </c>
      <c r="BD86">
        <v>0.4</v>
      </c>
      <c r="BF86">
        <v>0.6</v>
      </c>
      <c r="BG86">
        <v>0.6</v>
      </c>
      <c r="BH86">
        <v>0.6</v>
      </c>
      <c r="BK86">
        <v>0.6</v>
      </c>
    </row>
    <row r="87" spans="1:64" hidden="1" x14ac:dyDescent="0.25">
      <c r="A87" t="s">
        <v>313</v>
      </c>
      <c r="B87" t="s">
        <v>483</v>
      </c>
      <c r="C87" t="s">
        <v>387</v>
      </c>
      <c r="D87" t="s">
        <v>388</v>
      </c>
      <c r="E87" t="s">
        <v>485</v>
      </c>
      <c r="F87" t="s">
        <v>486</v>
      </c>
      <c r="G87" t="s">
        <v>383</v>
      </c>
      <c r="H87" t="s">
        <v>384</v>
      </c>
      <c r="I87" t="s">
        <v>385</v>
      </c>
      <c r="J87" t="s">
        <v>392</v>
      </c>
      <c r="K87">
        <v>1500</v>
      </c>
      <c r="L87">
        <v>3000</v>
      </c>
      <c r="M87">
        <v>0</v>
      </c>
      <c r="N87">
        <v>0</v>
      </c>
      <c r="O87">
        <v>0</v>
      </c>
      <c r="P87">
        <v>0</v>
      </c>
      <c r="Q87">
        <v>1</v>
      </c>
      <c r="R87">
        <v>1</v>
      </c>
      <c r="S87">
        <v>1</v>
      </c>
      <c r="T87" t="s">
        <v>484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0.1</v>
      </c>
      <c r="AB87" t="s">
        <v>374</v>
      </c>
      <c r="AC87">
        <v>0</v>
      </c>
      <c r="AD87">
        <v>0</v>
      </c>
      <c r="AE87">
        <v>0</v>
      </c>
      <c r="AF87">
        <v>30</v>
      </c>
      <c r="AG87">
        <v>0</v>
      </c>
      <c r="AH87">
        <v>0</v>
      </c>
      <c r="AI87">
        <v>0</v>
      </c>
      <c r="AJ87">
        <v>0</v>
      </c>
      <c r="AO87">
        <v>5</v>
      </c>
      <c r="AP87">
        <v>1</v>
      </c>
      <c r="AW87">
        <v>0.45</v>
      </c>
      <c r="AX87">
        <v>0.2</v>
      </c>
      <c r="AY87">
        <v>2.1</v>
      </c>
      <c r="BA87">
        <v>1</v>
      </c>
      <c r="BB87">
        <v>0.04</v>
      </c>
      <c r="BD87">
        <v>7.0000000000000007E-2</v>
      </c>
      <c r="BF87">
        <v>0.6</v>
      </c>
      <c r="BG87">
        <v>0.6</v>
      </c>
      <c r="BH87">
        <v>0.6</v>
      </c>
      <c r="BK87">
        <v>0.6</v>
      </c>
    </row>
    <row r="88" spans="1:64" x14ac:dyDescent="0.25">
      <c r="A88" t="s">
        <v>313</v>
      </c>
      <c r="B88" t="s">
        <v>167</v>
      </c>
      <c r="C88" t="s">
        <v>387</v>
      </c>
      <c r="D88" t="s">
        <v>388</v>
      </c>
      <c r="E88" s="2">
        <v>200</v>
      </c>
      <c r="F88" s="2">
        <v>275</v>
      </c>
      <c r="G88" t="s">
        <v>383</v>
      </c>
      <c r="H88" t="s">
        <v>384</v>
      </c>
      <c r="I88" s="2" t="s">
        <v>405</v>
      </c>
      <c r="J88" t="s">
        <v>392</v>
      </c>
      <c r="K88" s="2">
        <v>1750</v>
      </c>
      <c r="L88" s="2">
        <v>3200</v>
      </c>
      <c r="M88">
        <v>0</v>
      </c>
      <c r="N88">
        <v>0</v>
      </c>
      <c r="O88">
        <v>0</v>
      </c>
      <c r="P88">
        <v>0</v>
      </c>
      <c r="Q88">
        <v>1</v>
      </c>
      <c r="R88">
        <v>1</v>
      </c>
      <c r="S88">
        <v>1</v>
      </c>
      <c r="T88" s="2">
        <v>6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0.1</v>
      </c>
      <c r="AB88" t="s">
        <v>374</v>
      </c>
      <c r="AC88">
        <v>0</v>
      </c>
      <c r="AD88">
        <v>0</v>
      </c>
      <c r="AE88">
        <v>0</v>
      </c>
      <c r="AF88">
        <v>30</v>
      </c>
      <c r="AG88">
        <v>0</v>
      </c>
      <c r="AH88">
        <v>0</v>
      </c>
      <c r="AI88">
        <v>0</v>
      </c>
      <c r="AJ88">
        <v>0</v>
      </c>
      <c r="AO88">
        <v>5</v>
      </c>
      <c r="AP88">
        <v>1</v>
      </c>
      <c r="AQ88" s="2">
        <v>0.11</v>
      </c>
      <c r="AR88" s="2">
        <v>0.11</v>
      </c>
      <c r="AS88" s="2">
        <v>1</v>
      </c>
      <c r="AT88" s="2">
        <v>1.4</v>
      </c>
      <c r="AU88" s="2">
        <v>0.89</v>
      </c>
      <c r="AV88" s="2">
        <v>1.1000000000000001</v>
      </c>
      <c r="AW88" s="2">
        <v>0.85</v>
      </c>
      <c r="AX88">
        <v>0.2</v>
      </c>
      <c r="AY88" s="2">
        <v>1</v>
      </c>
      <c r="AZ88" s="2">
        <v>0.11</v>
      </c>
      <c r="BA88">
        <v>1</v>
      </c>
      <c r="BB88" s="2">
        <v>0.06</v>
      </c>
      <c r="BC88" s="2">
        <v>0.11</v>
      </c>
      <c r="BD88" s="2">
        <v>0.56000000000000005</v>
      </c>
      <c r="BE88" s="2">
        <v>0.66</v>
      </c>
      <c r="BF88" s="2">
        <v>0.9</v>
      </c>
      <c r="BG88" s="2">
        <v>0.93</v>
      </c>
      <c r="BH88" s="2">
        <v>0.93</v>
      </c>
      <c r="BK88">
        <v>0.6</v>
      </c>
      <c r="BL88" s="2">
        <v>1</v>
      </c>
    </row>
    <row r="89" spans="1:64" hidden="1" x14ac:dyDescent="0.25">
      <c r="A89" t="s">
        <v>314</v>
      </c>
      <c r="B89" t="s">
        <v>483</v>
      </c>
      <c r="C89" t="s">
        <v>387</v>
      </c>
      <c r="D89" t="s">
        <v>388</v>
      </c>
      <c r="E89" t="s">
        <v>488</v>
      </c>
      <c r="F89" t="s">
        <v>488</v>
      </c>
      <c r="G89" t="s">
        <v>390</v>
      </c>
      <c r="H89" t="s">
        <v>384</v>
      </c>
      <c r="I89" t="s">
        <v>414</v>
      </c>
      <c r="J89" t="s">
        <v>392</v>
      </c>
      <c r="K89">
        <v>2000</v>
      </c>
      <c r="L89">
        <v>3000</v>
      </c>
      <c r="M89">
        <v>0</v>
      </c>
      <c r="N89">
        <v>0</v>
      </c>
      <c r="O89">
        <v>0</v>
      </c>
      <c r="P89">
        <v>0</v>
      </c>
      <c r="Q89">
        <v>1</v>
      </c>
      <c r="R89">
        <v>1</v>
      </c>
      <c r="S89">
        <v>1</v>
      </c>
      <c r="T89" t="s">
        <v>487</v>
      </c>
      <c r="U89">
        <v>0</v>
      </c>
      <c r="V89">
        <v>0</v>
      </c>
      <c r="W89">
        <v>1</v>
      </c>
      <c r="X89">
        <v>0</v>
      </c>
      <c r="Y89">
        <v>55</v>
      </c>
      <c r="Z89">
        <v>55</v>
      </c>
      <c r="AA89">
        <v>0.1</v>
      </c>
      <c r="AB89" t="s">
        <v>374</v>
      </c>
      <c r="AC89">
        <v>1</v>
      </c>
      <c r="AD89">
        <v>0</v>
      </c>
      <c r="AE89">
        <v>0</v>
      </c>
      <c r="AF89">
        <v>0</v>
      </c>
      <c r="AG89">
        <v>-150</v>
      </c>
      <c r="AH89">
        <v>150</v>
      </c>
      <c r="AI89">
        <v>-10</v>
      </c>
      <c r="AJ89">
        <v>60</v>
      </c>
      <c r="AO89">
        <v>5</v>
      </c>
      <c r="AP89">
        <v>1</v>
      </c>
      <c r="AQ89">
        <v>0.71</v>
      </c>
      <c r="AS89">
        <v>0.89</v>
      </c>
      <c r="BA89">
        <v>1</v>
      </c>
      <c r="BB89">
        <v>0.13700000000000001</v>
      </c>
      <c r="BD89">
        <v>0.13500000000000001</v>
      </c>
      <c r="BF89">
        <v>0.8</v>
      </c>
      <c r="BG89">
        <v>0.6</v>
      </c>
      <c r="BH89">
        <v>0.6</v>
      </c>
      <c r="BK89">
        <v>0.6</v>
      </c>
    </row>
    <row r="90" spans="1:64" x14ac:dyDescent="0.25">
      <c r="A90" t="s">
        <v>314</v>
      </c>
      <c r="B90" t="s">
        <v>167</v>
      </c>
      <c r="C90" t="s">
        <v>387</v>
      </c>
      <c r="D90" t="s">
        <v>388</v>
      </c>
      <c r="E90" s="2">
        <v>70</v>
      </c>
      <c r="F90" s="2">
        <v>74</v>
      </c>
      <c r="G90" t="s">
        <v>390</v>
      </c>
      <c r="H90" t="s">
        <v>384</v>
      </c>
      <c r="I90" s="2" t="s">
        <v>429</v>
      </c>
      <c r="J90" t="s">
        <v>392</v>
      </c>
      <c r="K90" s="2">
        <v>2600</v>
      </c>
      <c r="L90" s="2">
        <v>3200</v>
      </c>
      <c r="M90">
        <v>0</v>
      </c>
      <c r="N90">
        <v>0</v>
      </c>
      <c r="O90">
        <v>0</v>
      </c>
      <c r="P90">
        <v>0</v>
      </c>
      <c r="Q90">
        <v>1</v>
      </c>
      <c r="R90">
        <v>1</v>
      </c>
      <c r="S90">
        <v>1</v>
      </c>
      <c r="T90" s="2">
        <v>2</v>
      </c>
      <c r="U90">
        <v>0</v>
      </c>
      <c r="V90">
        <v>0</v>
      </c>
      <c r="W90">
        <v>1</v>
      </c>
      <c r="X90">
        <v>0</v>
      </c>
      <c r="Y90" s="2">
        <v>75</v>
      </c>
      <c r="Z90" s="2">
        <v>75</v>
      </c>
      <c r="AA90">
        <v>0.1</v>
      </c>
      <c r="AB90" t="s">
        <v>374</v>
      </c>
      <c r="AC90">
        <v>1</v>
      </c>
      <c r="AD90">
        <v>0</v>
      </c>
      <c r="AE90">
        <v>0</v>
      </c>
      <c r="AF90">
        <v>0</v>
      </c>
      <c r="AG90">
        <v>-150</v>
      </c>
      <c r="AH90">
        <v>150</v>
      </c>
      <c r="AI90">
        <v>-10</v>
      </c>
      <c r="AJ90">
        <v>60</v>
      </c>
      <c r="AO90">
        <v>5</v>
      </c>
      <c r="AP90">
        <v>1</v>
      </c>
      <c r="AQ90" s="2">
        <v>0.1</v>
      </c>
      <c r="AR90" s="2">
        <v>0.2</v>
      </c>
      <c r="AS90" s="2">
        <v>0.32</v>
      </c>
      <c r="AT90" s="2">
        <v>0.56000000000000005</v>
      </c>
      <c r="AU90" s="2">
        <v>1.1000000000000001</v>
      </c>
      <c r="AV90" s="2">
        <v>0.9</v>
      </c>
      <c r="AW90" s="2">
        <v>0.85</v>
      </c>
      <c r="AX90" s="2">
        <v>0.8</v>
      </c>
      <c r="AY90" s="2">
        <v>0.2</v>
      </c>
      <c r="AZ90" s="2">
        <v>0.184</v>
      </c>
      <c r="BA90">
        <v>1</v>
      </c>
      <c r="BB90" s="2">
        <v>0.04</v>
      </c>
      <c r="BC90" s="2">
        <v>0.08</v>
      </c>
      <c r="BD90" s="2">
        <v>0.4</v>
      </c>
      <c r="BE90" s="2">
        <v>0.64</v>
      </c>
      <c r="BF90" s="2">
        <v>0.9</v>
      </c>
      <c r="BG90" s="2">
        <v>0.89</v>
      </c>
      <c r="BH90" s="2">
        <v>0.89</v>
      </c>
      <c r="BJ90" s="2">
        <v>0.89</v>
      </c>
      <c r="BK90">
        <v>0.6</v>
      </c>
      <c r="BL90" s="2">
        <v>1</v>
      </c>
    </row>
    <row r="91" spans="1:64" hidden="1" x14ac:dyDescent="0.25">
      <c r="A91" t="s">
        <v>315</v>
      </c>
      <c r="B91" t="s">
        <v>483</v>
      </c>
      <c r="C91" t="s">
        <v>387</v>
      </c>
      <c r="D91" t="s">
        <v>388</v>
      </c>
      <c r="E91">
        <v>14.7</v>
      </c>
      <c r="F91">
        <v>15.3</v>
      </c>
      <c r="G91" t="s">
        <v>383</v>
      </c>
      <c r="H91" t="s">
        <v>384</v>
      </c>
      <c r="I91" t="s">
        <v>414</v>
      </c>
      <c r="J91" t="s">
        <v>392</v>
      </c>
      <c r="K91">
        <v>2200</v>
      </c>
      <c r="L91" t="s">
        <v>489</v>
      </c>
      <c r="M91">
        <v>0</v>
      </c>
      <c r="N91">
        <v>0</v>
      </c>
      <c r="O91">
        <v>0</v>
      </c>
      <c r="P91">
        <v>0</v>
      </c>
      <c r="Q91">
        <v>1</v>
      </c>
      <c r="R91">
        <v>1</v>
      </c>
      <c r="S91">
        <v>0</v>
      </c>
      <c r="T91" t="s">
        <v>490</v>
      </c>
      <c r="U91">
        <v>1.3</v>
      </c>
      <c r="V91">
        <v>0.8</v>
      </c>
      <c r="W91">
        <v>0</v>
      </c>
      <c r="X91">
        <v>0</v>
      </c>
      <c r="Y91">
        <v>0</v>
      </c>
      <c r="Z91">
        <v>0</v>
      </c>
      <c r="AA91">
        <v>0.1</v>
      </c>
      <c r="AB91" t="s">
        <v>374</v>
      </c>
      <c r="AC91">
        <v>0</v>
      </c>
      <c r="AD91">
        <v>0</v>
      </c>
      <c r="AE91">
        <v>0</v>
      </c>
      <c r="AF91">
        <v>13</v>
      </c>
      <c r="AG91">
        <v>0</v>
      </c>
      <c r="AH91">
        <v>0</v>
      </c>
      <c r="AI91">
        <v>0</v>
      </c>
      <c r="AJ91">
        <v>0</v>
      </c>
      <c r="AO91">
        <v>5</v>
      </c>
      <c r="AP91">
        <v>1</v>
      </c>
      <c r="AQ91">
        <v>1.01</v>
      </c>
      <c r="AS91">
        <v>1.05</v>
      </c>
      <c r="AU91">
        <v>0.8</v>
      </c>
      <c r="AX91">
        <v>0.6</v>
      </c>
      <c r="AY91">
        <v>2.5</v>
      </c>
      <c r="BA91">
        <v>1</v>
      </c>
      <c r="BB91">
        <v>8.2400000000000001E-2</v>
      </c>
      <c r="BD91">
        <v>0.26300000000000001</v>
      </c>
      <c r="BF91">
        <v>0.6</v>
      </c>
      <c r="BG91">
        <v>0.6</v>
      </c>
      <c r="BH91">
        <v>0.6</v>
      </c>
      <c r="BK91">
        <v>0.6</v>
      </c>
    </row>
    <row r="92" spans="1:64" x14ac:dyDescent="0.25">
      <c r="A92" t="s">
        <v>315</v>
      </c>
      <c r="B92" t="s">
        <v>167</v>
      </c>
      <c r="C92" t="s">
        <v>387</v>
      </c>
      <c r="D92" t="s">
        <v>388</v>
      </c>
      <c r="E92" s="2">
        <v>16</v>
      </c>
      <c r="F92" s="2">
        <v>22</v>
      </c>
      <c r="G92" t="s">
        <v>383</v>
      </c>
      <c r="H92" t="s">
        <v>384</v>
      </c>
      <c r="I92" s="2" t="s">
        <v>430</v>
      </c>
      <c r="J92" t="s">
        <v>392</v>
      </c>
      <c r="K92">
        <v>2200</v>
      </c>
      <c r="L92" s="2">
        <v>2500</v>
      </c>
      <c r="M92">
        <v>0</v>
      </c>
      <c r="N92">
        <v>0</v>
      </c>
      <c r="O92">
        <v>0</v>
      </c>
      <c r="P92">
        <v>0</v>
      </c>
      <c r="Q92">
        <v>1</v>
      </c>
      <c r="R92">
        <v>1</v>
      </c>
      <c r="S92">
        <v>0</v>
      </c>
      <c r="T92" s="2">
        <v>0.18</v>
      </c>
      <c r="U92" s="2">
        <v>2</v>
      </c>
      <c r="V92" s="2">
        <v>1</v>
      </c>
      <c r="W92">
        <v>0</v>
      </c>
      <c r="X92">
        <v>0</v>
      </c>
      <c r="Y92">
        <v>0</v>
      </c>
      <c r="Z92">
        <v>0</v>
      </c>
      <c r="AA92">
        <v>0.1</v>
      </c>
      <c r="AB92" t="s">
        <v>374</v>
      </c>
      <c r="AC92">
        <v>0</v>
      </c>
      <c r="AD92">
        <v>0</v>
      </c>
      <c r="AE92">
        <v>0</v>
      </c>
      <c r="AF92" s="2">
        <v>15</v>
      </c>
      <c r="AG92">
        <v>0</v>
      </c>
      <c r="AH92">
        <v>0</v>
      </c>
      <c r="AI92">
        <v>0</v>
      </c>
      <c r="AJ92">
        <v>0</v>
      </c>
      <c r="AO92">
        <v>5</v>
      </c>
      <c r="AP92">
        <v>1</v>
      </c>
      <c r="AQ92" s="2">
        <v>1</v>
      </c>
      <c r="AR92" s="2">
        <v>2</v>
      </c>
      <c r="AS92" s="2">
        <v>1</v>
      </c>
      <c r="AT92" s="2">
        <v>1.5</v>
      </c>
      <c r="AU92" s="2">
        <v>1.5</v>
      </c>
      <c r="AV92" s="2">
        <v>1.2</v>
      </c>
      <c r="AX92" s="2">
        <v>0.8</v>
      </c>
      <c r="AY92">
        <v>2.5</v>
      </c>
      <c r="AZ92" s="2">
        <v>0.8</v>
      </c>
      <c r="BA92">
        <v>1</v>
      </c>
      <c r="BB92" s="2">
        <v>0.15</v>
      </c>
      <c r="BC92" s="2">
        <v>0.3</v>
      </c>
      <c r="BD92" s="2">
        <v>0.39</v>
      </c>
      <c r="BE92" s="2">
        <v>0.8</v>
      </c>
      <c r="BF92" s="2">
        <v>0.9</v>
      </c>
      <c r="BG92" s="2">
        <v>1</v>
      </c>
      <c r="BH92" s="2">
        <v>1</v>
      </c>
      <c r="BK92" s="2">
        <v>0.8</v>
      </c>
    </row>
    <row r="93" spans="1:64" hidden="1" x14ac:dyDescent="0.25">
      <c r="A93" t="s">
        <v>316</v>
      </c>
      <c r="B93" t="s">
        <v>483</v>
      </c>
      <c r="C93" t="s">
        <v>387</v>
      </c>
      <c r="D93" t="s">
        <v>388</v>
      </c>
      <c r="E93" t="s">
        <v>492</v>
      </c>
      <c r="F93" t="s">
        <v>492</v>
      </c>
      <c r="G93" t="s">
        <v>390</v>
      </c>
      <c r="H93" t="s">
        <v>384</v>
      </c>
      <c r="I93" t="s">
        <v>391</v>
      </c>
      <c r="J93" t="s">
        <v>392</v>
      </c>
      <c r="K93">
        <v>5000</v>
      </c>
      <c r="L93">
        <v>5500</v>
      </c>
      <c r="M93">
        <v>0</v>
      </c>
      <c r="N93">
        <v>0</v>
      </c>
      <c r="O93">
        <v>0</v>
      </c>
      <c r="P93">
        <v>0</v>
      </c>
      <c r="Q93">
        <v>1</v>
      </c>
      <c r="R93">
        <v>1</v>
      </c>
      <c r="S93">
        <v>1</v>
      </c>
      <c r="T93" t="s">
        <v>491</v>
      </c>
      <c r="U93">
        <v>0</v>
      </c>
      <c r="V93">
        <v>0</v>
      </c>
      <c r="W93">
        <v>1</v>
      </c>
      <c r="X93">
        <v>1</v>
      </c>
      <c r="Y93">
        <v>33</v>
      </c>
      <c r="Z93">
        <v>20</v>
      </c>
      <c r="AA93">
        <v>0.1</v>
      </c>
      <c r="AB93" t="s">
        <v>374</v>
      </c>
      <c r="AC93">
        <v>1</v>
      </c>
      <c r="AD93">
        <v>0</v>
      </c>
      <c r="AE93">
        <v>0</v>
      </c>
      <c r="AF93">
        <v>0</v>
      </c>
      <c r="AG93">
        <v>-15</v>
      </c>
      <c r="AH93">
        <v>180</v>
      </c>
      <c r="AI93">
        <v>-11</v>
      </c>
      <c r="AJ93">
        <v>45</v>
      </c>
      <c r="AO93">
        <v>30</v>
      </c>
      <c r="AP93">
        <v>1</v>
      </c>
      <c r="AX93">
        <v>0.6</v>
      </c>
      <c r="AY93">
        <v>0.3</v>
      </c>
      <c r="BA93">
        <v>1</v>
      </c>
      <c r="BB93">
        <v>0.1</v>
      </c>
      <c r="BD93">
        <v>0.06</v>
      </c>
    </row>
    <row r="94" spans="1:64" x14ac:dyDescent="0.25">
      <c r="A94" t="s">
        <v>316</v>
      </c>
      <c r="B94" t="s">
        <v>167</v>
      </c>
      <c r="C94" t="s">
        <v>387</v>
      </c>
      <c r="D94" t="s">
        <v>388</v>
      </c>
      <c r="E94" s="2">
        <v>1500</v>
      </c>
      <c r="F94" s="2">
        <v>1500</v>
      </c>
      <c r="G94" t="s">
        <v>390</v>
      </c>
      <c r="H94" t="s">
        <v>384</v>
      </c>
      <c r="I94" t="s">
        <v>391</v>
      </c>
      <c r="J94" t="s">
        <v>392</v>
      </c>
      <c r="K94">
        <v>5000</v>
      </c>
      <c r="L94">
        <v>5500</v>
      </c>
      <c r="M94">
        <v>0</v>
      </c>
      <c r="N94">
        <v>0</v>
      </c>
      <c r="O94">
        <v>0</v>
      </c>
      <c r="P94">
        <v>0</v>
      </c>
      <c r="Q94">
        <v>1</v>
      </c>
      <c r="R94">
        <v>1</v>
      </c>
      <c r="S94">
        <v>1</v>
      </c>
      <c r="T94" s="2">
        <v>5.5</v>
      </c>
      <c r="U94">
        <v>0</v>
      </c>
      <c r="V94">
        <v>0</v>
      </c>
      <c r="W94">
        <v>1</v>
      </c>
      <c r="X94">
        <v>1</v>
      </c>
      <c r="Y94">
        <v>33</v>
      </c>
      <c r="Z94">
        <v>20</v>
      </c>
      <c r="AA94">
        <v>0.1</v>
      </c>
      <c r="AB94" t="s">
        <v>374</v>
      </c>
      <c r="AC94">
        <v>1</v>
      </c>
      <c r="AD94">
        <v>0</v>
      </c>
      <c r="AE94">
        <v>0</v>
      </c>
      <c r="AF94">
        <v>0</v>
      </c>
      <c r="AG94">
        <v>-15</v>
      </c>
      <c r="AH94">
        <v>180</v>
      </c>
      <c r="AI94">
        <v>-11</v>
      </c>
      <c r="AJ94">
        <v>45</v>
      </c>
      <c r="AO94">
        <v>30</v>
      </c>
      <c r="AP94">
        <v>1</v>
      </c>
      <c r="AX94">
        <v>0.6</v>
      </c>
      <c r="AY94">
        <v>0.3</v>
      </c>
      <c r="BA94">
        <v>1</v>
      </c>
      <c r="BB94" s="2">
        <v>0.05</v>
      </c>
      <c r="BC94" s="2">
        <v>0.05</v>
      </c>
      <c r="BD94">
        <v>0.06</v>
      </c>
      <c r="BE94" s="2">
        <v>0.06</v>
      </c>
    </row>
    <row r="95" spans="1:64" hidden="1" x14ac:dyDescent="0.25">
      <c r="A95" t="s">
        <v>317</v>
      </c>
      <c r="B95" t="s">
        <v>483</v>
      </c>
      <c r="C95" t="s">
        <v>387</v>
      </c>
      <c r="D95" t="s">
        <v>388</v>
      </c>
      <c r="E95" t="s">
        <v>492</v>
      </c>
      <c r="F95" t="s">
        <v>492</v>
      </c>
      <c r="G95" t="s">
        <v>390</v>
      </c>
      <c r="H95" t="s">
        <v>384</v>
      </c>
      <c r="I95" t="s">
        <v>391</v>
      </c>
      <c r="J95" t="s">
        <v>392</v>
      </c>
      <c r="K95">
        <v>5000</v>
      </c>
      <c r="L95">
        <v>5500</v>
      </c>
      <c r="M95">
        <v>0</v>
      </c>
      <c r="N95">
        <v>0</v>
      </c>
      <c r="O95">
        <v>0</v>
      </c>
      <c r="P95">
        <v>0</v>
      </c>
      <c r="Q95">
        <v>1</v>
      </c>
      <c r="R95">
        <v>1</v>
      </c>
      <c r="S95">
        <v>1</v>
      </c>
      <c r="T95" t="s">
        <v>491</v>
      </c>
      <c r="U95">
        <v>0</v>
      </c>
      <c r="V95">
        <v>0</v>
      </c>
      <c r="W95">
        <v>1</v>
      </c>
      <c r="X95">
        <v>1</v>
      </c>
      <c r="Y95">
        <v>33</v>
      </c>
      <c r="Z95">
        <v>20</v>
      </c>
      <c r="AA95">
        <v>0.1</v>
      </c>
      <c r="AB95" t="s">
        <v>374</v>
      </c>
      <c r="AC95">
        <v>1</v>
      </c>
      <c r="AD95">
        <v>0</v>
      </c>
      <c r="AE95">
        <v>0</v>
      </c>
      <c r="AF95">
        <v>0</v>
      </c>
      <c r="AG95">
        <v>-180</v>
      </c>
      <c r="AH95">
        <v>15</v>
      </c>
      <c r="AI95">
        <v>-11</v>
      </c>
      <c r="AJ95">
        <v>45</v>
      </c>
      <c r="AO95">
        <v>30</v>
      </c>
      <c r="AP95">
        <v>1</v>
      </c>
      <c r="AX95">
        <v>0.6</v>
      </c>
      <c r="AY95">
        <v>0.3</v>
      </c>
      <c r="BA95">
        <v>1</v>
      </c>
      <c r="BB95">
        <v>0.1</v>
      </c>
      <c r="BD95">
        <v>0.06</v>
      </c>
    </row>
    <row r="96" spans="1:64" x14ac:dyDescent="0.25">
      <c r="A96" t="s">
        <v>317</v>
      </c>
      <c r="B96" t="s">
        <v>167</v>
      </c>
      <c r="C96" t="s">
        <v>387</v>
      </c>
      <c r="D96" t="s">
        <v>388</v>
      </c>
      <c r="E96" s="2">
        <v>1500</v>
      </c>
      <c r="F96" s="2">
        <v>1500</v>
      </c>
      <c r="G96" t="s">
        <v>390</v>
      </c>
      <c r="H96" t="s">
        <v>384</v>
      </c>
      <c r="I96" t="s">
        <v>391</v>
      </c>
      <c r="J96" t="s">
        <v>392</v>
      </c>
      <c r="K96">
        <v>5000</v>
      </c>
      <c r="L96">
        <v>5500</v>
      </c>
      <c r="M96">
        <v>0</v>
      </c>
      <c r="N96">
        <v>0</v>
      </c>
      <c r="O96">
        <v>0</v>
      </c>
      <c r="P96">
        <v>0</v>
      </c>
      <c r="Q96">
        <v>1</v>
      </c>
      <c r="R96">
        <v>1</v>
      </c>
      <c r="S96">
        <v>1</v>
      </c>
      <c r="T96" s="2">
        <v>5.5</v>
      </c>
      <c r="U96">
        <v>0</v>
      </c>
      <c r="V96">
        <v>0</v>
      </c>
      <c r="W96">
        <v>1</v>
      </c>
      <c r="X96">
        <v>1</v>
      </c>
      <c r="Y96">
        <v>33</v>
      </c>
      <c r="Z96">
        <v>20</v>
      </c>
      <c r="AA96">
        <v>0.1</v>
      </c>
      <c r="AB96" t="s">
        <v>374</v>
      </c>
      <c r="AC96">
        <v>1</v>
      </c>
      <c r="AD96">
        <v>0</v>
      </c>
      <c r="AE96">
        <v>0</v>
      </c>
      <c r="AF96">
        <v>0</v>
      </c>
      <c r="AG96">
        <v>-180</v>
      </c>
      <c r="AH96">
        <v>15</v>
      </c>
      <c r="AI96">
        <v>-11</v>
      </c>
      <c r="AJ96">
        <v>45</v>
      </c>
      <c r="AO96">
        <v>30</v>
      </c>
      <c r="AP96">
        <v>1</v>
      </c>
      <c r="AX96">
        <v>0.6</v>
      </c>
      <c r="AY96">
        <v>0.3</v>
      </c>
      <c r="BA96">
        <v>1</v>
      </c>
      <c r="BB96" s="2">
        <v>0.05</v>
      </c>
      <c r="BC96" s="2">
        <v>0.05</v>
      </c>
      <c r="BD96">
        <v>0.06</v>
      </c>
      <c r="BE96" s="2">
        <v>0.06</v>
      </c>
    </row>
    <row r="97" spans="1:63" hidden="1" x14ac:dyDescent="0.25">
      <c r="A97" t="s">
        <v>318</v>
      </c>
      <c r="B97" t="s">
        <v>483</v>
      </c>
      <c r="C97" t="s">
        <v>387</v>
      </c>
      <c r="D97" t="s">
        <v>388</v>
      </c>
      <c r="E97" t="s">
        <v>492</v>
      </c>
      <c r="F97" t="s">
        <v>492</v>
      </c>
      <c r="G97" t="s">
        <v>390</v>
      </c>
      <c r="H97" t="s">
        <v>384</v>
      </c>
      <c r="I97" t="s">
        <v>391</v>
      </c>
      <c r="J97" t="s">
        <v>392</v>
      </c>
      <c r="K97">
        <v>5000</v>
      </c>
      <c r="L97">
        <v>5500</v>
      </c>
      <c r="M97">
        <v>0</v>
      </c>
      <c r="N97">
        <v>0</v>
      </c>
      <c r="O97">
        <v>0</v>
      </c>
      <c r="P97">
        <v>0</v>
      </c>
      <c r="Q97">
        <v>1</v>
      </c>
      <c r="R97">
        <v>1</v>
      </c>
      <c r="S97">
        <v>1</v>
      </c>
      <c r="T97" t="s">
        <v>491</v>
      </c>
      <c r="U97">
        <v>0</v>
      </c>
      <c r="V97">
        <v>0</v>
      </c>
      <c r="W97">
        <v>1</v>
      </c>
      <c r="X97">
        <v>1</v>
      </c>
      <c r="Y97">
        <v>33</v>
      </c>
      <c r="Z97">
        <v>20</v>
      </c>
      <c r="AA97">
        <v>0.1</v>
      </c>
      <c r="AB97" t="s">
        <v>374</v>
      </c>
      <c r="AC97">
        <v>1</v>
      </c>
      <c r="AD97">
        <v>0</v>
      </c>
      <c r="AE97">
        <v>0</v>
      </c>
      <c r="AF97">
        <v>0</v>
      </c>
      <c r="AG97">
        <v>-180</v>
      </c>
      <c r="AH97">
        <v>180</v>
      </c>
      <c r="AI97">
        <v>-11</v>
      </c>
      <c r="AJ97">
        <v>45</v>
      </c>
      <c r="AO97">
        <v>30</v>
      </c>
      <c r="AP97">
        <v>1</v>
      </c>
      <c r="AX97">
        <v>0.6</v>
      </c>
      <c r="AY97">
        <v>0.3</v>
      </c>
      <c r="BA97">
        <v>1</v>
      </c>
      <c r="BB97">
        <v>0.1</v>
      </c>
      <c r="BD97">
        <v>0.06</v>
      </c>
    </row>
    <row r="98" spans="1:63" x14ac:dyDescent="0.25">
      <c r="A98" t="s">
        <v>318</v>
      </c>
      <c r="B98" t="s">
        <v>167</v>
      </c>
      <c r="C98" t="s">
        <v>387</v>
      </c>
      <c r="D98" t="s">
        <v>388</v>
      </c>
      <c r="E98" s="2">
        <v>1500</v>
      </c>
      <c r="F98" s="2">
        <v>1500</v>
      </c>
      <c r="G98" t="s">
        <v>390</v>
      </c>
      <c r="H98" t="s">
        <v>384</v>
      </c>
      <c r="I98" t="s">
        <v>391</v>
      </c>
      <c r="J98" t="s">
        <v>392</v>
      </c>
      <c r="K98">
        <v>5000</v>
      </c>
      <c r="L98">
        <v>5500</v>
      </c>
      <c r="M98">
        <v>0</v>
      </c>
      <c r="N98">
        <v>0</v>
      </c>
      <c r="O98">
        <v>0</v>
      </c>
      <c r="P98">
        <v>0</v>
      </c>
      <c r="Q98">
        <v>1</v>
      </c>
      <c r="R98">
        <v>1</v>
      </c>
      <c r="S98">
        <v>1</v>
      </c>
      <c r="T98" s="2">
        <v>5.5</v>
      </c>
      <c r="U98">
        <v>0</v>
      </c>
      <c r="V98">
        <v>0</v>
      </c>
      <c r="W98">
        <v>1</v>
      </c>
      <c r="X98">
        <v>1</v>
      </c>
      <c r="Y98">
        <v>33</v>
      </c>
      <c r="Z98">
        <v>20</v>
      </c>
      <c r="AA98">
        <v>0.1</v>
      </c>
      <c r="AB98" t="s">
        <v>374</v>
      </c>
      <c r="AC98">
        <v>1</v>
      </c>
      <c r="AD98">
        <v>0</v>
      </c>
      <c r="AE98">
        <v>0</v>
      </c>
      <c r="AF98">
        <v>0</v>
      </c>
      <c r="AG98">
        <v>-180</v>
      </c>
      <c r="AH98">
        <v>180</v>
      </c>
      <c r="AI98">
        <v>-11</v>
      </c>
      <c r="AJ98">
        <v>45</v>
      </c>
      <c r="AO98">
        <v>30</v>
      </c>
      <c r="AP98">
        <v>1</v>
      </c>
      <c r="AX98">
        <v>0.6</v>
      </c>
      <c r="AY98">
        <v>0.3</v>
      </c>
      <c r="BA98">
        <v>1</v>
      </c>
      <c r="BB98" s="2">
        <v>0.05</v>
      </c>
      <c r="BC98" s="2">
        <v>0.05</v>
      </c>
      <c r="BD98">
        <v>0.06</v>
      </c>
      <c r="BE98" s="2">
        <v>0.06</v>
      </c>
    </row>
    <row r="99" spans="1:63" hidden="1" x14ac:dyDescent="0.25">
      <c r="A99" t="s">
        <v>319</v>
      </c>
      <c r="B99" t="s">
        <v>483</v>
      </c>
      <c r="C99" t="s">
        <v>387</v>
      </c>
      <c r="D99" t="s">
        <v>388</v>
      </c>
      <c r="E99">
        <v>10050</v>
      </c>
      <c r="F99">
        <v>10050</v>
      </c>
      <c r="G99" t="s">
        <v>390</v>
      </c>
      <c r="H99" t="s">
        <v>393</v>
      </c>
      <c r="I99" t="s">
        <v>431</v>
      </c>
      <c r="J99" t="s">
        <v>392</v>
      </c>
      <c r="K99">
        <v>0</v>
      </c>
      <c r="L99">
        <v>5500</v>
      </c>
      <c r="M99">
        <v>0</v>
      </c>
      <c r="N99">
        <v>5</v>
      </c>
      <c r="O99">
        <v>2</v>
      </c>
      <c r="P99">
        <v>0</v>
      </c>
      <c r="Q99">
        <v>20</v>
      </c>
      <c r="R99">
        <v>0</v>
      </c>
      <c r="S99">
        <v>1</v>
      </c>
      <c r="T99">
        <v>12.75</v>
      </c>
      <c r="U99">
        <v>0</v>
      </c>
      <c r="V99">
        <v>0</v>
      </c>
      <c r="W99">
        <v>1</v>
      </c>
      <c r="X99">
        <v>1</v>
      </c>
      <c r="Y99">
        <v>29</v>
      </c>
      <c r="Z99">
        <v>29</v>
      </c>
      <c r="AA99">
        <v>0.1</v>
      </c>
      <c r="AB99" t="s">
        <v>374</v>
      </c>
      <c r="AC99">
        <v>1</v>
      </c>
      <c r="AD99">
        <v>0</v>
      </c>
      <c r="AE99">
        <v>1000</v>
      </c>
      <c r="AF99">
        <v>0</v>
      </c>
      <c r="AG99">
        <v>-115</v>
      </c>
      <c r="AH99">
        <v>115</v>
      </c>
      <c r="AI99">
        <v>-2</v>
      </c>
      <c r="AJ99">
        <v>12</v>
      </c>
      <c r="AK99" t="s">
        <v>387</v>
      </c>
      <c r="AL99" t="s">
        <v>395</v>
      </c>
      <c r="AM99">
        <v>-72</v>
      </c>
      <c r="AN99">
        <v>-72</v>
      </c>
      <c r="AO99">
        <v>50</v>
      </c>
      <c r="AP99">
        <v>1</v>
      </c>
      <c r="AX99">
        <v>0.2</v>
      </c>
      <c r="AY99">
        <v>0.3</v>
      </c>
      <c r="BA99">
        <v>1</v>
      </c>
      <c r="BB99">
        <v>0</v>
      </c>
      <c r="BD99">
        <v>0</v>
      </c>
    </row>
    <row r="100" spans="1:63" x14ac:dyDescent="0.25">
      <c r="A100" t="s">
        <v>319</v>
      </c>
      <c r="B100" t="s">
        <v>167</v>
      </c>
      <c r="C100" t="s">
        <v>387</v>
      </c>
      <c r="D100" t="s">
        <v>388</v>
      </c>
      <c r="E100" s="2">
        <v>2400</v>
      </c>
      <c r="F100" s="2">
        <v>2400</v>
      </c>
      <c r="G100" t="s">
        <v>390</v>
      </c>
      <c r="H100" t="s">
        <v>393</v>
      </c>
      <c r="I100" t="s">
        <v>431</v>
      </c>
      <c r="J100" t="s">
        <v>392</v>
      </c>
      <c r="K100">
        <v>0</v>
      </c>
      <c r="L100" s="2">
        <v>5300</v>
      </c>
      <c r="M100">
        <v>0</v>
      </c>
      <c r="N100">
        <v>5</v>
      </c>
      <c r="O100">
        <v>2</v>
      </c>
      <c r="P100">
        <v>0</v>
      </c>
      <c r="Q100">
        <v>20</v>
      </c>
      <c r="R100">
        <v>0</v>
      </c>
      <c r="S100">
        <v>1</v>
      </c>
      <c r="T100" s="2">
        <v>7</v>
      </c>
      <c r="U100">
        <v>0</v>
      </c>
      <c r="V100">
        <v>0</v>
      </c>
      <c r="W100">
        <v>1</v>
      </c>
      <c r="X100">
        <v>1</v>
      </c>
      <c r="Y100">
        <v>29</v>
      </c>
      <c r="Z100">
        <v>29</v>
      </c>
      <c r="AA100">
        <v>0.1</v>
      </c>
      <c r="AB100" t="s">
        <v>374</v>
      </c>
      <c r="AC100">
        <v>1</v>
      </c>
      <c r="AD100">
        <v>0</v>
      </c>
      <c r="AE100">
        <v>1000</v>
      </c>
      <c r="AF100">
        <v>0</v>
      </c>
      <c r="AG100">
        <v>-115</v>
      </c>
      <c r="AH100">
        <v>115</v>
      </c>
      <c r="AI100">
        <v>-2</v>
      </c>
      <c r="AJ100">
        <v>12</v>
      </c>
      <c r="AK100" t="s">
        <v>387</v>
      </c>
      <c r="AL100" t="s">
        <v>395</v>
      </c>
      <c r="AM100">
        <v>-72</v>
      </c>
      <c r="AN100">
        <v>-72</v>
      </c>
      <c r="AO100">
        <v>50</v>
      </c>
      <c r="AP100">
        <v>1</v>
      </c>
      <c r="AU100" s="2">
        <v>0.94</v>
      </c>
      <c r="AV100" s="2">
        <v>1</v>
      </c>
      <c r="AX100">
        <v>0.2</v>
      </c>
      <c r="AY100">
        <v>0.3</v>
      </c>
      <c r="BA100">
        <v>1</v>
      </c>
      <c r="BB100">
        <v>0</v>
      </c>
      <c r="BC100">
        <v>0</v>
      </c>
      <c r="BD100">
        <v>0</v>
      </c>
      <c r="BE100">
        <v>0</v>
      </c>
    </row>
    <row r="101" spans="1:63" hidden="1" x14ac:dyDescent="0.25">
      <c r="A101" t="s">
        <v>320</v>
      </c>
      <c r="B101" t="s">
        <v>483</v>
      </c>
      <c r="C101" t="s">
        <v>387</v>
      </c>
      <c r="D101" t="s">
        <v>388</v>
      </c>
      <c r="E101">
        <v>7.5</v>
      </c>
      <c r="F101">
        <v>8.5</v>
      </c>
      <c r="G101" t="s">
        <v>390</v>
      </c>
      <c r="H101" t="s">
        <v>384</v>
      </c>
      <c r="I101" t="s">
        <v>414</v>
      </c>
      <c r="J101" t="s">
        <v>392</v>
      </c>
      <c r="K101">
        <v>3500</v>
      </c>
      <c r="L101" t="s">
        <v>378</v>
      </c>
      <c r="M101">
        <v>0</v>
      </c>
      <c r="N101">
        <v>0</v>
      </c>
      <c r="O101">
        <v>0</v>
      </c>
      <c r="P101">
        <v>0</v>
      </c>
      <c r="Q101">
        <v>1</v>
      </c>
      <c r="R101">
        <v>1</v>
      </c>
      <c r="S101">
        <v>0</v>
      </c>
      <c r="T101">
        <v>0.9</v>
      </c>
      <c r="U101">
        <v>0</v>
      </c>
      <c r="V101">
        <v>0</v>
      </c>
      <c r="W101">
        <v>1</v>
      </c>
      <c r="X101">
        <v>1</v>
      </c>
      <c r="Y101">
        <v>105</v>
      </c>
      <c r="Z101">
        <v>105</v>
      </c>
      <c r="AA101">
        <v>0.5</v>
      </c>
      <c r="AB101" t="s">
        <v>374</v>
      </c>
      <c r="AC101">
        <v>0</v>
      </c>
      <c r="AD101">
        <v>0</v>
      </c>
      <c r="AE101">
        <v>0</v>
      </c>
      <c r="AF101">
        <v>0</v>
      </c>
      <c r="AG101">
        <v>-15</v>
      </c>
      <c r="AH101">
        <v>15</v>
      </c>
      <c r="AI101">
        <v>-30</v>
      </c>
      <c r="AJ101">
        <v>30</v>
      </c>
      <c r="AO101">
        <v>5</v>
      </c>
      <c r="AP101">
        <v>1</v>
      </c>
      <c r="AQ101">
        <v>0.96</v>
      </c>
      <c r="AS101">
        <v>0.98</v>
      </c>
      <c r="AU101">
        <v>0.8</v>
      </c>
      <c r="AX101">
        <v>0.6</v>
      </c>
      <c r="AY101">
        <v>0.8</v>
      </c>
      <c r="BA101">
        <v>1</v>
      </c>
      <c r="BB101">
        <v>0.08</v>
      </c>
      <c r="BD101">
        <v>0.20499999999999999</v>
      </c>
      <c r="BF101">
        <v>0.6</v>
      </c>
      <c r="BG101">
        <v>0.6</v>
      </c>
      <c r="BH101">
        <v>0.6</v>
      </c>
      <c r="BK101">
        <v>0.6</v>
      </c>
    </row>
    <row r="102" spans="1:63" x14ac:dyDescent="0.25">
      <c r="A102" t="s">
        <v>320</v>
      </c>
      <c r="B102" t="s">
        <v>167</v>
      </c>
      <c r="C102" t="s">
        <v>387</v>
      </c>
      <c r="D102" t="s">
        <v>388</v>
      </c>
      <c r="E102" s="2">
        <v>7</v>
      </c>
      <c r="F102" s="2">
        <v>8</v>
      </c>
      <c r="G102" t="s">
        <v>390</v>
      </c>
      <c r="H102" t="s">
        <v>384</v>
      </c>
      <c r="I102" t="s">
        <v>414</v>
      </c>
      <c r="J102" t="s">
        <v>392</v>
      </c>
      <c r="K102">
        <v>3500</v>
      </c>
      <c r="L102" t="s">
        <v>378</v>
      </c>
      <c r="M102">
        <v>0</v>
      </c>
      <c r="N102">
        <v>0</v>
      </c>
      <c r="O102">
        <v>0</v>
      </c>
      <c r="P102">
        <v>0</v>
      </c>
      <c r="Q102">
        <v>1</v>
      </c>
      <c r="R102">
        <v>1</v>
      </c>
      <c r="S102">
        <v>0</v>
      </c>
      <c r="T102">
        <v>0.9</v>
      </c>
      <c r="U102">
        <v>0</v>
      </c>
      <c r="V102">
        <v>0</v>
      </c>
      <c r="W102" s="2">
        <v>0.8</v>
      </c>
      <c r="X102">
        <v>1</v>
      </c>
      <c r="Y102">
        <v>105</v>
      </c>
      <c r="Z102">
        <v>105</v>
      </c>
      <c r="AA102">
        <v>0.5</v>
      </c>
      <c r="AB102" t="s">
        <v>374</v>
      </c>
      <c r="AC102">
        <v>0</v>
      </c>
      <c r="AD102">
        <v>0</v>
      </c>
      <c r="AE102">
        <v>0</v>
      </c>
      <c r="AF102" s="2">
        <v>3</v>
      </c>
      <c r="AG102">
        <v>-15</v>
      </c>
      <c r="AH102">
        <v>15</v>
      </c>
      <c r="AI102">
        <v>-30</v>
      </c>
      <c r="AJ102">
        <v>30</v>
      </c>
      <c r="AO102">
        <v>5</v>
      </c>
      <c r="AP102">
        <v>1</v>
      </c>
      <c r="AQ102" s="2" t="s">
        <v>471</v>
      </c>
      <c r="AR102" s="2" t="s">
        <v>472</v>
      </c>
      <c r="AS102">
        <v>0.98</v>
      </c>
      <c r="AT102" s="2" t="s">
        <v>473</v>
      </c>
      <c r="AU102">
        <v>0.8</v>
      </c>
      <c r="AW102" s="2">
        <v>1.1000000000000001</v>
      </c>
      <c r="AX102" s="2">
        <v>0.5</v>
      </c>
      <c r="AY102">
        <v>0.8</v>
      </c>
      <c r="BA102">
        <v>1</v>
      </c>
      <c r="BB102">
        <v>0.08</v>
      </c>
      <c r="BC102" s="2" t="s">
        <v>474</v>
      </c>
      <c r="BD102">
        <v>0.20499999999999999</v>
      </c>
      <c r="BE102" s="2" t="s">
        <v>475</v>
      </c>
      <c r="BF102">
        <v>0.6</v>
      </c>
      <c r="BG102">
        <v>0.6</v>
      </c>
      <c r="BH102">
        <v>0.6</v>
      </c>
      <c r="BJ102" s="2">
        <v>0.5</v>
      </c>
      <c r="BK102">
        <v>0.6</v>
      </c>
    </row>
    <row r="103" spans="1:63" hidden="1" x14ac:dyDescent="0.25">
      <c r="A103" t="s">
        <v>321</v>
      </c>
      <c r="B103" t="s">
        <v>483</v>
      </c>
      <c r="C103" t="s">
        <v>387</v>
      </c>
      <c r="D103" t="s">
        <v>388</v>
      </c>
      <c r="E103" t="s">
        <v>494</v>
      </c>
      <c r="F103" t="s">
        <v>495</v>
      </c>
      <c r="G103" t="s">
        <v>390</v>
      </c>
      <c r="H103" t="s">
        <v>384</v>
      </c>
      <c r="I103" t="s">
        <v>391</v>
      </c>
      <c r="J103" t="s">
        <v>392</v>
      </c>
      <c r="K103">
        <v>5000</v>
      </c>
      <c r="L103">
        <v>4500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1</v>
      </c>
      <c r="S103">
        <v>1</v>
      </c>
      <c r="T103" t="s">
        <v>493</v>
      </c>
      <c r="U103">
        <v>0</v>
      </c>
      <c r="V103">
        <v>0</v>
      </c>
      <c r="W103">
        <v>1</v>
      </c>
      <c r="X103">
        <v>1</v>
      </c>
      <c r="Y103">
        <v>40</v>
      </c>
      <c r="Z103">
        <v>20</v>
      </c>
      <c r="AA103">
        <v>0.1</v>
      </c>
      <c r="AB103" t="s">
        <v>374</v>
      </c>
      <c r="AC103">
        <v>1</v>
      </c>
      <c r="AD103">
        <v>0</v>
      </c>
      <c r="AE103">
        <v>0</v>
      </c>
      <c r="AF103">
        <v>0</v>
      </c>
      <c r="AG103">
        <v>-155</v>
      </c>
      <c r="AH103">
        <v>155</v>
      </c>
      <c r="AI103">
        <v>-11</v>
      </c>
      <c r="AJ103">
        <v>45</v>
      </c>
      <c r="AO103">
        <v>30</v>
      </c>
      <c r="AP103">
        <v>1</v>
      </c>
      <c r="AX103">
        <v>0.6</v>
      </c>
      <c r="AY103">
        <v>0.3</v>
      </c>
      <c r="BA103">
        <v>1</v>
      </c>
      <c r="BB103">
        <v>0.1</v>
      </c>
      <c r="BD103">
        <v>0.06</v>
      </c>
    </row>
    <row r="104" spans="1:63" x14ac:dyDescent="0.25">
      <c r="A104" t="s">
        <v>321</v>
      </c>
      <c r="B104" t="s">
        <v>167</v>
      </c>
      <c r="C104" t="s">
        <v>387</v>
      </c>
      <c r="D104" t="s">
        <v>388</v>
      </c>
      <c r="E104" s="2">
        <v>1100</v>
      </c>
      <c r="F104" s="2">
        <v>1100</v>
      </c>
      <c r="G104" t="s">
        <v>390</v>
      </c>
      <c r="H104" t="s">
        <v>384</v>
      </c>
      <c r="I104" t="s">
        <v>391</v>
      </c>
      <c r="J104" t="s">
        <v>392</v>
      </c>
      <c r="K104">
        <v>5000</v>
      </c>
      <c r="L104">
        <v>4500</v>
      </c>
      <c r="M104">
        <v>0</v>
      </c>
      <c r="N104">
        <v>0</v>
      </c>
      <c r="O104">
        <v>0</v>
      </c>
      <c r="P104">
        <v>0</v>
      </c>
      <c r="Q104">
        <v>1</v>
      </c>
      <c r="R104">
        <v>1</v>
      </c>
      <c r="S104">
        <v>1</v>
      </c>
      <c r="T104" s="2">
        <v>3.2</v>
      </c>
      <c r="U104">
        <v>0</v>
      </c>
      <c r="V104">
        <v>0</v>
      </c>
      <c r="W104">
        <v>1</v>
      </c>
      <c r="X104">
        <v>1</v>
      </c>
      <c r="Y104">
        <v>40</v>
      </c>
      <c r="Z104">
        <v>20</v>
      </c>
      <c r="AA104">
        <v>0.1</v>
      </c>
      <c r="AB104" t="s">
        <v>374</v>
      </c>
      <c r="AC104">
        <v>1</v>
      </c>
      <c r="AD104">
        <v>0</v>
      </c>
      <c r="AE104">
        <v>0</v>
      </c>
      <c r="AF104">
        <v>0</v>
      </c>
      <c r="AG104">
        <v>-155</v>
      </c>
      <c r="AH104">
        <v>155</v>
      </c>
      <c r="AI104">
        <v>-11</v>
      </c>
      <c r="AJ104">
        <v>45</v>
      </c>
      <c r="AO104">
        <v>30</v>
      </c>
      <c r="AP104">
        <v>1</v>
      </c>
      <c r="AU104" s="2">
        <v>0.94</v>
      </c>
      <c r="AV104" s="2">
        <v>1</v>
      </c>
      <c r="AX104" s="2">
        <v>0.45</v>
      </c>
      <c r="AY104">
        <v>0.3</v>
      </c>
      <c r="BA104">
        <v>1</v>
      </c>
      <c r="BB104">
        <v>0.1</v>
      </c>
      <c r="BC104" s="2">
        <v>0.1</v>
      </c>
      <c r="BD104" s="2">
        <v>0.05</v>
      </c>
      <c r="BE104" s="2">
        <v>0.05</v>
      </c>
      <c r="BF104" s="2">
        <v>0.9</v>
      </c>
      <c r="BG104" s="2">
        <v>0.9</v>
      </c>
      <c r="BH104" s="2">
        <v>0.9</v>
      </c>
      <c r="BJ104" s="2">
        <v>0.75</v>
      </c>
    </row>
    <row r="105" spans="1:63" hidden="1" x14ac:dyDescent="0.25">
      <c r="A105" t="s">
        <v>322</v>
      </c>
      <c r="B105" t="s">
        <v>483</v>
      </c>
      <c r="C105" t="s">
        <v>387</v>
      </c>
      <c r="D105" t="s">
        <v>388</v>
      </c>
      <c r="E105" t="s">
        <v>496</v>
      </c>
      <c r="F105" t="s">
        <v>497</v>
      </c>
      <c r="G105" t="s">
        <v>390</v>
      </c>
      <c r="H105" t="s">
        <v>393</v>
      </c>
      <c r="I105" t="s">
        <v>431</v>
      </c>
      <c r="J105" t="s">
        <v>392</v>
      </c>
      <c r="K105">
        <v>0</v>
      </c>
      <c r="L105">
        <v>4500</v>
      </c>
      <c r="M105">
        <v>0</v>
      </c>
      <c r="N105">
        <v>4</v>
      </c>
      <c r="O105">
        <v>2</v>
      </c>
      <c r="P105">
        <v>0</v>
      </c>
      <c r="Q105">
        <v>20</v>
      </c>
      <c r="R105">
        <v>0</v>
      </c>
      <c r="S105">
        <v>1</v>
      </c>
      <c r="T105">
        <v>12.5</v>
      </c>
      <c r="U105">
        <v>0</v>
      </c>
      <c r="V105">
        <v>0</v>
      </c>
      <c r="W105">
        <v>0</v>
      </c>
      <c r="X105">
        <v>0</v>
      </c>
      <c r="Y105">
        <v>35</v>
      </c>
      <c r="Z105">
        <v>20</v>
      </c>
      <c r="AA105">
        <v>0.1</v>
      </c>
      <c r="AB105" t="s">
        <v>374</v>
      </c>
      <c r="AC105">
        <v>0</v>
      </c>
      <c r="AD105">
        <v>0</v>
      </c>
      <c r="AE105">
        <v>0</v>
      </c>
      <c r="AF105">
        <v>0</v>
      </c>
      <c r="AG105">
        <v>-180</v>
      </c>
      <c r="AH105">
        <v>6</v>
      </c>
      <c r="AI105">
        <v>-35</v>
      </c>
      <c r="AJ105">
        <v>6</v>
      </c>
      <c r="AK105" t="s">
        <v>387</v>
      </c>
      <c r="AL105" t="s">
        <v>395</v>
      </c>
      <c r="AM105">
        <v>-25</v>
      </c>
      <c r="AN105">
        <v>-25</v>
      </c>
      <c r="AO105">
        <v>30</v>
      </c>
      <c r="AP105">
        <v>1</v>
      </c>
      <c r="AX105">
        <v>0.2</v>
      </c>
      <c r="AY105">
        <v>0.3</v>
      </c>
      <c r="BA105">
        <v>1</v>
      </c>
      <c r="BB105">
        <v>0.08</v>
      </c>
      <c r="BD105">
        <v>0.04</v>
      </c>
    </row>
    <row r="106" spans="1:63" x14ac:dyDescent="0.25">
      <c r="A106" t="s">
        <v>322</v>
      </c>
      <c r="B106" t="s">
        <v>167</v>
      </c>
      <c r="C106" t="s">
        <v>387</v>
      </c>
      <c r="D106" t="s">
        <v>388</v>
      </c>
      <c r="E106" s="2">
        <v>2000</v>
      </c>
      <c r="F106" s="2">
        <v>2000</v>
      </c>
      <c r="G106" t="s">
        <v>390</v>
      </c>
      <c r="H106" t="s">
        <v>393</v>
      </c>
      <c r="I106" t="s">
        <v>431</v>
      </c>
      <c r="J106" t="s">
        <v>392</v>
      </c>
      <c r="K106">
        <v>0</v>
      </c>
      <c r="L106">
        <v>4500</v>
      </c>
      <c r="M106">
        <v>0</v>
      </c>
      <c r="N106">
        <v>4</v>
      </c>
      <c r="O106">
        <v>2</v>
      </c>
      <c r="P106">
        <v>0</v>
      </c>
      <c r="Q106">
        <v>20</v>
      </c>
      <c r="R106">
        <v>0</v>
      </c>
      <c r="S106">
        <v>1</v>
      </c>
      <c r="T106" s="2">
        <v>12</v>
      </c>
      <c r="U106">
        <v>0</v>
      </c>
      <c r="V106">
        <v>0</v>
      </c>
      <c r="W106" s="2">
        <v>1</v>
      </c>
      <c r="X106">
        <v>0</v>
      </c>
      <c r="Y106">
        <v>35</v>
      </c>
      <c r="Z106">
        <v>20</v>
      </c>
      <c r="AA106">
        <v>0.1</v>
      </c>
      <c r="AB106" t="s">
        <v>374</v>
      </c>
      <c r="AC106">
        <v>0</v>
      </c>
      <c r="AD106">
        <v>0</v>
      </c>
      <c r="AE106">
        <v>0</v>
      </c>
      <c r="AF106" s="2">
        <v>14</v>
      </c>
      <c r="AG106">
        <v>-180</v>
      </c>
      <c r="AH106">
        <v>6</v>
      </c>
      <c r="AI106">
        <v>-35</v>
      </c>
      <c r="AJ106">
        <v>6</v>
      </c>
      <c r="AK106" t="s">
        <v>387</v>
      </c>
      <c r="AL106" t="s">
        <v>395</v>
      </c>
      <c r="AM106">
        <v>-25</v>
      </c>
      <c r="AN106">
        <v>-25</v>
      </c>
      <c r="AO106" s="2">
        <v>15</v>
      </c>
      <c r="AP106">
        <v>1</v>
      </c>
      <c r="AU106" s="2">
        <v>1</v>
      </c>
      <c r="AV106" s="2">
        <v>0.9</v>
      </c>
      <c r="AX106">
        <v>0.2</v>
      </c>
      <c r="AY106">
        <v>0.3</v>
      </c>
      <c r="BA106">
        <v>1</v>
      </c>
      <c r="BB106">
        <v>0.08</v>
      </c>
      <c r="BC106" s="2">
        <v>0.08</v>
      </c>
      <c r="BD106">
        <v>0.04</v>
      </c>
      <c r="BE106" s="2">
        <v>0.04</v>
      </c>
      <c r="BF106" s="2">
        <v>1</v>
      </c>
      <c r="BG106" s="2">
        <v>0.8</v>
      </c>
      <c r="BH106" s="2">
        <v>0.8</v>
      </c>
    </row>
    <row r="107" spans="1:63" hidden="1" x14ac:dyDescent="0.25">
      <c r="A107" t="s">
        <v>323</v>
      </c>
      <c r="B107" t="s">
        <v>483</v>
      </c>
      <c r="C107" t="s">
        <v>387</v>
      </c>
      <c r="D107" t="s">
        <v>388</v>
      </c>
      <c r="E107" t="s">
        <v>496</v>
      </c>
      <c r="F107" t="s">
        <v>497</v>
      </c>
      <c r="G107" t="s">
        <v>390</v>
      </c>
      <c r="H107" t="s">
        <v>393</v>
      </c>
      <c r="I107" t="s">
        <v>431</v>
      </c>
      <c r="J107" t="s">
        <v>392</v>
      </c>
      <c r="K107">
        <v>0</v>
      </c>
      <c r="L107">
        <v>4500</v>
      </c>
      <c r="M107">
        <v>0</v>
      </c>
      <c r="N107">
        <v>4</v>
      </c>
      <c r="O107">
        <v>2</v>
      </c>
      <c r="P107">
        <v>0</v>
      </c>
      <c r="Q107">
        <v>20</v>
      </c>
      <c r="R107">
        <v>0</v>
      </c>
      <c r="S107">
        <v>1</v>
      </c>
      <c r="T107">
        <v>12.5</v>
      </c>
      <c r="U107">
        <v>0</v>
      </c>
      <c r="V107">
        <v>0</v>
      </c>
      <c r="W107">
        <v>0</v>
      </c>
      <c r="X107">
        <v>0</v>
      </c>
      <c r="Y107">
        <v>35</v>
      </c>
      <c r="Z107">
        <v>20</v>
      </c>
      <c r="AA107">
        <v>0.1</v>
      </c>
      <c r="AB107" t="s">
        <v>374</v>
      </c>
      <c r="AC107">
        <v>0</v>
      </c>
      <c r="AD107">
        <v>0</v>
      </c>
      <c r="AE107">
        <v>0</v>
      </c>
      <c r="AF107">
        <v>0</v>
      </c>
      <c r="AG107">
        <v>-6</v>
      </c>
      <c r="AH107">
        <v>180</v>
      </c>
      <c r="AI107">
        <v>-35</v>
      </c>
      <c r="AJ107">
        <v>6</v>
      </c>
      <c r="AK107" t="s">
        <v>387</v>
      </c>
      <c r="AL107" t="s">
        <v>395</v>
      </c>
      <c r="AM107">
        <v>-25</v>
      </c>
      <c r="AN107">
        <v>-25</v>
      </c>
      <c r="AO107">
        <v>30</v>
      </c>
      <c r="AP107">
        <v>1</v>
      </c>
      <c r="AX107">
        <v>0.2</v>
      </c>
      <c r="AY107">
        <v>0.3</v>
      </c>
      <c r="BA107">
        <v>1</v>
      </c>
      <c r="BB107">
        <v>0.08</v>
      </c>
      <c r="BD107">
        <v>0.04</v>
      </c>
    </row>
    <row r="108" spans="1:63" x14ac:dyDescent="0.25">
      <c r="A108" t="s">
        <v>323</v>
      </c>
      <c r="B108" t="s">
        <v>167</v>
      </c>
      <c r="C108" t="s">
        <v>387</v>
      </c>
      <c r="D108" t="s">
        <v>388</v>
      </c>
      <c r="E108" s="2">
        <v>2000</v>
      </c>
      <c r="F108" s="2">
        <v>2000</v>
      </c>
      <c r="G108" t="s">
        <v>390</v>
      </c>
      <c r="H108" t="s">
        <v>393</v>
      </c>
      <c r="I108" t="s">
        <v>431</v>
      </c>
      <c r="J108" t="s">
        <v>392</v>
      </c>
      <c r="K108">
        <v>0</v>
      </c>
      <c r="L108">
        <v>4500</v>
      </c>
      <c r="M108">
        <v>0</v>
      </c>
      <c r="N108">
        <v>4</v>
      </c>
      <c r="O108">
        <v>2</v>
      </c>
      <c r="P108">
        <v>0</v>
      </c>
      <c r="Q108">
        <v>20</v>
      </c>
      <c r="R108">
        <v>0</v>
      </c>
      <c r="S108">
        <v>1</v>
      </c>
      <c r="T108" s="2">
        <v>12</v>
      </c>
      <c r="U108">
        <v>0</v>
      </c>
      <c r="V108">
        <v>0</v>
      </c>
      <c r="W108" s="2">
        <v>1</v>
      </c>
      <c r="X108">
        <v>0</v>
      </c>
      <c r="Y108">
        <v>35</v>
      </c>
      <c r="Z108">
        <v>20</v>
      </c>
      <c r="AA108">
        <v>0.1</v>
      </c>
      <c r="AB108" t="s">
        <v>374</v>
      </c>
      <c r="AC108">
        <v>0</v>
      </c>
      <c r="AD108">
        <v>0</v>
      </c>
      <c r="AE108">
        <v>0</v>
      </c>
      <c r="AF108" s="2">
        <v>14</v>
      </c>
      <c r="AG108">
        <v>-6</v>
      </c>
      <c r="AH108">
        <v>180</v>
      </c>
      <c r="AI108">
        <v>-35</v>
      </c>
      <c r="AJ108">
        <v>6</v>
      </c>
      <c r="AK108" t="s">
        <v>387</v>
      </c>
      <c r="AL108" t="s">
        <v>395</v>
      </c>
      <c r="AM108">
        <v>-25</v>
      </c>
      <c r="AN108">
        <v>-25</v>
      </c>
      <c r="AO108" s="2">
        <v>15</v>
      </c>
      <c r="AP108">
        <v>1</v>
      </c>
      <c r="AU108" s="2">
        <v>1</v>
      </c>
      <c r="AV108" s="2">
        <v>0.9</v>
      </c>
      <c r="AX108">
        <v>0.2</v>
      </c>
      <c r="AY108">
        <v>0.3</v>
      </c>
      <c r="BA108">
        <v>1</v>
      </c>
      <c r="BB108">
        <v>0.08</v>
      </c>
      <c r="BC108" s="2">
        <v>0.08</v>
      </c>
      <c r="BD108">
        <v>0.04</v>
      </c>
      <c r="BE108" s="2">
        <v>0.04</v>
      </c>
      <c r="BF108" s="2">
        <v>1</v>
      </c>
      <c r="BG108" s="2">
        <v>0.8</v>
      </c>
      <c r="BH108" s="2">
        <v>0.8</v>
      </c>
    </row>
    <row r="109" spans="1:63" hidden="1" x14ac:dyDescent="0.25">
      <c r="A109" t="s">
        <v>324</v>
      </c>
      <c r="B109" t="s">
        <v>483</v>
      </c>
      <c r="C109" t="s">
        <v>387</v>
      </c>
      <c r="D109" t="s">
        <v>388</v>
      </c>
      <c r="E109">
        <v>1100</v>
      </c>
      <c r="F109">
        <v>1100</v>
      </c>
      <c r="G109" t="s">
        <v>396</v>
      </c>
      <c r="H109" t="s">
        <v>397</v>
      </c>
      <c r="I109" t="s">
        <v>432</v>
      </c>
      <c r="J109" t="s">
        <v>392</v>
      </c>
      <c r="K109">
        <v>350</v>
      </c>
      <c r="L109">
        <v>4500</v>
      </c>
      <c r="M109">
        <v>0</v>
      </c>
      <c r="N109">
        <v>0</v>
      </c>
      <c r="O109">
        <v>0</v>
      </c>
      <c r="P109">
        <v>0</v>
      </c>
      <c r="Q109">
        <v>1</v>
      </c>
      <c r="R109">
        <v>0</v>
      </c>
      <c r="S109">
        <v>1</v>
      </c>
      <c r="T109">
        <v>5.5</v>
      </c>
      <c r="U109">
        <v>0</v>
      </c>
      <c r="V109">
        <v>0</v>
      </c>
      <c r="W109">
        <v>1</v>
      </c>
      <c r="X109">
        <v>0</v>
      </c>
      <c r="Y109">
        <v>0</v>
      </c>
      <c r="Z109">
        <v>0</v>
      </c>
      <c r="AA109">
        <v>0.1</v>
      </c>
      <c r="AB109" t="s">
        <v>374</v>
      </c>
      <c r="AC109">
        <v>0</v>
      </c>
      <c r="AD109">
        <v>0</v>
      </c>
      <c r="AE109">
        <v>0</v>
      </c>
      <c r="AF109">
        <v>140</v>
      </c>
      <c r="AG109">
        <v>0</v>
      </c>
      <c r="AH109">
        <v>0</v>
      </c>
      <c r="AI109">
        <v>0</v>
      </c>
      <c r="AJ109">
        <v>0</v>
      </c>
      <c r="AO109">
        <v>5</v>
      </c>
      <c r="AP109">
        <v>0.5</v>
      </c>
      <c r="AQ109">
        <v>0.23499999999999999</v>
      </c>
      <c r="AS109">
        <v>0.31</v>
      </c>
      <c r="AU109">
        <v>0.39</v>
      </c>
      <c r="AV109">
        <v>0.47</v>
      </c>
      <c r="AW109">
        <v>0.37</v>
      </c>
      <c r="AX109">
        <v>0.28000000000000003</v>
      </c>
      <c r="AZ109">
        <v>0.25</v>
      </c>
      <c r="BA109">
        <v>1</v>
      </c>
      <c r="BB109">
        <v>1</v>
      </c>
      <c r="BD109">
        <v>1</v>
      </c>
    </row>
    <row r="110" spans="1:63" x14ac:dyDescent="0.25">
      <c r="A110" t="s">
        <v>324</v>
      </c>
      <c r="B110" t="s">
        <v>167</v>
      </c>
      <c r="C110" t="s">
        <v>387</v>
      </c>
      <c r="D110" t="s">
        <v>388</v>
      </c>
      <c r="E110" s="2">
        <v>130</v>
      </c>
      <c r="F110" s="2">
        <v>130</v>
      </c>
      <c r="G110" t="s">
        <v>396</v>
      </c>
      <c r="H110" t="s">
        <v>397</v>
      </c>
      <c r="I110" t="s">
        <v>432</v>
      </c>
      <c r="J110" t="s">
        <v>392</v>
      </c>
      <c r="K110">
        <v>350</v>
      </c>
      <c r="L110">
        <v>4500</v>
      </c>
      <c r="M110">
        <v>0</v>
      </c>
      <c r="N110">
        <v>0</v>
      </c>
      <c r="O110">
        <v>0</v>
      </c>
      <c r="P110">
        <v>0</v>
      </c>
      <c r="Q110">
        <v>1</v>
      </c>
      <c r="R110">
        <v>0</v>
      </c>
      <c r="S110">
        <v>1</v>
      </c>
      <c r="T110" s="2">
        <v>2.75</v>
      </c>
      <c r="U110">
        <v>0</v>
      </c>
      <c r="V110">
        <v>0</v>
      </c>
      <c r="W110">
        <v>1</v>
      </c>
      <c r="X110">
        <v>0</v>
      </c>
      <c r="Y110">
        <v>0</v>
      </c>
      <c r="Z110">
        <v>0</v>
      </c>
      <c r="AA110">
        <v>0.1</v>
      </c>
      <c r="AB110" t="s">
        <v>374</v>
      </c>
      <c r="AC110">
        <v>0</v>
      </c>
      <c r="AD110">
        <v>0</v>
      </c>
      <c r="AE110">
        <v>0</v>
      </c>
      <c r="AF110" s="2">
        <v>120</v>
      </c>
      <c r="AG110">
        <v>0</v>
      </c>
      <c r="AH110">
        <v>0</v>
      </c>
      <c r="AI110">
        <v>0</v>
      </c>
      <c r="AJ110">
        <v>0</v>
      </c>
      <c r="AO110" s="2">
        <v>15</v>
      </c>
      <c r="AP110">
        <v>0.5</v>
      </c>
      <c r="AQ110" s="2">
        <v>0.24</v>
      </c>
      <c r="AR110" s="2">
        <v>1.25</v>
      </c>
      <c r="AS110" s="2">
        <v>1.25</v>
      </c>
      <c r="AT110" s="2">
        <v>2.5</v>
      </c>
      <c r="AU110" s="2">
        <v>0.98</v>
      </c>
      <c r="AV110" s="2">
        <v>1.25</v>
      </c>
      <c r="AW110" s="2">
        <v>0.74</v>
      </c>
      <c r="AX110" s="2">
        <v>0.76</v>
      </c>
      <c r="AZ110" s="2">
        <v>1</v>
      </c>
      <c r="BA110">
        <v>1</v>
      </c>
      <c r="BB110">
        <v>1</v>
      </c>
      <c r="BC110" s="2">
        <v>1</v>
      </c>
      <c r="BD110">
        <v>1</v>
      </c>
      <c r="BE110" s="2">
        <v>1</v>
      </c>
    </row>
    <row r="111" spans="1:63" hidden="1" x14ac:dyDescent="0.25">
      <c r="A111" t="s">
        <v>325</v>
      </c>
      <c r="B111" t="s">
        <v>483</v>
      </c>
      <c r="C111" t="s">
        <v>387</v>
      </c>
      <c r="D111" t="s">
        <v>388</v>
      </c>
      <c r="E111" t="s">
        <v>498</v>
      </c>
      <c r="F111" t="s">
        <v>499</v>
      </c>
      <c r="G111" t="s">
        <v>396</v>
      </c>
      <c r="H111" t="s">
        <v>397</v>
      </c>
      <c r="I111" t="s">
        <v>433</v>
      </c>
      <c r="J111" t="s">
        <v>386</v>
      </c>
      <c r="K111">
        <v>675</v>
      </c>
      <c r="L111">
        <v>4500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1</v>
      </c>
      <c r="T111">
        <v>60</v>
      </c>
      <c r="U111">
        <v>0</v>
      </c>
      <c r="V111">
        <v>0</v>
      </c>
      <c r="W111">
        <v>1</v>
      </c>
      <c r="X111">
        <v>0</v>
      </c>
      <c r="Y111">
        <v>0</v>
      </c>
      <c r="Z111">
        <v>0</v>
      </c>
      <c r="AA111">
        <v>0.1</v>
      </c>
      <c r="AB111" t="s">
        <v>374</v>
      </c>
      <c r="AC111">
        <v>0</v>
      </c>
      <c r="AD111">
        <v>0</v>
      </c>
      <c r="AE111">
        <v>0</v>
      </c>
      <c r="AF111">
        <v>120</v>
      </c>
      <c r="AG111">
        <v>0</v>
      </c>
      <c r="AH111">
        <v>0</v>
      </c>
      <c r="AI111">
        <v>0</v>
      </c>
      <c r="AJ111">
        <v>0</v>
      </c>
      <c r="AO111" t="s">
        <v>500</v>
      </c>
      <c r="AP111">
        <v>0.5</v>
      </c>
      <c r="AQ111">
        <v>7.4999999999999997E-2</v>
      </c>
      <c r="AS111">
        <v>0.12</v>
      </c>
      <c r="AU111">
        <v>0.4</v>
      </c>
      <c r="AV111">
        <v>0.54</v>
      </c>
      <c r="AW111">
        <v>0.35</v>
      </c>
      <c r="AX111">
        <v>0.28000000000000003</v>
      </c>
      <c r="AZ111">
        <v>0.25</v>
      </c>
      <c r="BA111">
        <v>1</v>
      </c>
      <c r="BB111">
        <v>1</v>
      </c>
      <c r="BD111">
        <v>1</v>
      </c>
    </row>
    <row r="112" spans="1:63" x14ac:dyDescent="0.25">
      <c r="A112" t="s">
        <v>325</v>
      </c>
      <c r="B112" t="s">
        <v>167</v>
      </c>
      <c r="C112" t="s">
        <v>387</v>
      </c>
      <c r="D112" t="s">
        <v>388</v>
      </c>
      <c r="E112" s="2">
        <v>260</v>
      </c>
      <c r="F112" s="2">
        <v>260</v>
      </c>
      <c r="G112" t="s">
        <v>396</v>
      </c>
      <c r="H112" t="s">
        <v>397</v>
      </c>
      <c r="I112" t="s">
        <v>433</v>
      </c>
      <c r="J112" t="s">
        <v>386</v>
      </c>
      <c r="K112">
        <v>675</v>
      </c>
      <c r="L112">
        <v>4500</v>
      </c>
      <c r="M112">
        <v>0</v>
      </c>
      <c r="N112">
        <v>0</v>
      </c>
      <c r="O112">
        <v>0</v>
      </c>
      <c r="P112">
        <v>0</v>
      </c>
      <c r="Q112">
        <v>1</v>
      </c>
      <c r="R112">
        <v>0</v>
      </c>
      <c r="S112">
        <v>1</v>
      </c>
      <c r="T112" s="2">
        <v>30</v>
      </c>
      <c r="U112">
        <v>0</v>
      </c>
      <c r="V112">
        <v>0</v>
      </c>
      <c r="W112">
        <v>1</v>
      </c>
      <c r="X112">
        <v>0</v>
      </c>
      <c r="Y112">
        <v>0</v>
      </c>
      <c r="Z112">
        <v>0</v>
      </c>
      <c r="AA112">
        <v>0.1</v>
      </c>
      <c r="AB112" t="s">
        <v>374</v>
      </c>
      <c r="AC112">
        <v>0</v>
      </c>
      <c r="AD112">
        <v>0</v>
      </c>
      <c r="AE112">
        <v>0</v>
      </c>
      <c r="AF112">
        <v>120</v>
      </c>
      <c r="AG112">
        <v>0</v>
      </c>
      <c r="AH112">
        <v>0</v>
      </c>
      <c r="AI112">
        <v>0</v>
      </c>
      <c r="AJ112">
        <v>0</v>
      </c>
      <c r="AO112" s="2">
        <v>25</v>
      </c>
      <c r="AP112">
        <v>0.5</v>
      </c>
      <c r="AQ112" s="2">
        <v>0.24</v>
      </c>
      <c r="AR112" s="2">
        <v>1.25</v>
      </c>
      <c r="AS112" s="2">
        <v>0.82</v>
      </c>
      <c r="AT112" s="2">
        <v>2.5</v>
      </c>
      <c r="AU112" s="2">
        <v>0.98</v>
      </c>
      <c r="AV112" s="2">
        <v>1</v>
      </c>
      <c r="AW112" s="2">
        <v>0.32</v>
      </c>
      <c r="AX112" s="2">
        <v>0.32</v>
      </c>
      <c r="AZ112" s="2">
        <v>1</v>
      </c>
      <c r="BA112">
        <v>1</v>
      </c>
      <c r="BB112">
        <v>1</v>
      </c>
      <c r="BC112" s="2">
        <v>1</v>
      </c>
      <c r="BD112">
        <v>1</v>
      </c>
      <c r="BE112" s="2">
        <v>1</v>
      </c>
    </row>
    <row r="113" spans="1:64" hidden="1" x14ac:dyDescent="0.25">
      <c r="A113" t="s">
        <v>326</v>
      </c>
      <c r="B113" t="s">
        <v>483</v>
      </c>
      <c r="C113" t="s">
        <v>387</v>
      </c>
      <c r="D113" t="s">
        <v>388</v>
      </c>
      <c r="E113">
        <v>40</v>
      </c>
      <c r="F113">
        <v>40</v>
      </c>
      <c r="G113" t="s">
        <v>390</v>
      </c>
      <c r="H113" t="s">
        <v>384</v>
      </c>
      <c r="I113" t="s">
        <v>414</v>
      </c>
      <c r="J113" t="s">
        <v>392</v>
      </c>
      <c r="K113">
        <v>2000</v>
      </c>
      <c r="L113">
        <v>2650</v>
      </c>
      <c r="M113">
        <v>0</v>
      </c>
      <c r="N113">
        <v>0</v>
      </c>
      <c r="O113">
        <v>0</v>
      </c>
      <c r="P113">
        <v>0</v>
      </c>
      <c r="Q113">
        <v>1</v>
      </c>
      <c r="R113">
        <v>1</v>
      </c>
      <c r="S113">
        <v>0</v>
      </c>
      <c r="T113">
        <v>1</v>
      </c>
      <c r="U113">
        <v>0</v>
      </c>
      <c r="V113">
        <v>0</v>
      </c>
      <c r="W113">
        <v>1</v>
      </c>
      <c r="X113">
        <v>1</v>
      </c>
      <c r="Y113">
        <v>125</v>
      </c>
      <c r="Z113">
        <v>125</v>
      </c>
      <c r="AA113">
        <v>0.1</v>
      </c>
      <c r="AB113" t="s">
        <v>374</v>
      </c>
      <c r="AC113">
        <v>0</v>
      </c>
      <c r="AD113">
        <v>0</v>
      </c>
      <c r="AE113">
        <v>0</v>
      </c>
      <c r="AF113">
        <v>0</v>
      </c>
      <c r="AG113">
        <v>-179</v>
      </c>
      <c r="AH113">
        <v>179</v>
      </c>
      <c r="AI113">
        <v>-89</v>
      </c>
      <c r="AJ113">
        <v>89</v>
      </c>
      <c r="AO113">
        <v>5</v>
      </c>
      <c r="AP113">
        <v>1</v>
      </c>
      <c r="AS113">
        <v>1.22</v>
      </c>
      <c r="AU113">
        <v>1.06</v>
      </c>
      <c r="AX113">
        <v>0.42</v>
      </c>
      <c r="BA113">
        <v>1</v>
      </c>
      <c r="BB113">
        <v>0.11799999999999999</v>
      </c>
      <c r="BD113">
        <v>0.29699999999999999</v>
      </c>
      <c r="BF113">
        <v>0.5</v>
      </c>
      <c r="BG113">
        <v>0.55000000000000004</v>
      </c>
      <c r="BH113">
        <v>0.55000000000000004</v>
      </c>
      <c r="BK113">
        <v>0.55000000000000004</v>
      </c>
    </row>
    <row r="114" spans="1:64" x14ac:dyDescent="0.25">
      <c r="A114" t="s">
        <v>326</v>
      </c>
      <c r="B114" t="s">
        <v>167</v>
      </c>
      <c r="C114" t="s">
        <v>387</v>
      </c>
      <c r="D114" t="s">
        <v>388</v>
      </c>
      <c r="E114" s="2">
        <v>25.5</v>
      </c>
      <c r="F114" s="2">
        <v>25.5</v>
      </c>
      <c r="G114" t="s">
        <v>390</v>
      </c>
      <c r="H114" t="s">
        <v>384</v>
      </c>
      <c r="I114" s="2" t="s">
        <v>429</v>
      </c>
      <c r="J114" t="s">
        <v>392</v>
      </c>
      <c r="K114">
        <v>2000</v>
      </c>
      <c r="L114">
        <v>2650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1</v>
      </c>
      <c r="S114">
        <v>0</v>
      </c>
      <c r="T114">
        <v>1</v>
      </c>
      <c r="U114">
        <v>0</v>
      </c>
      <c r="V114">
        <v>0</v>
      </c>
      <c r="W114">
        <v>1</v>
      </c>
      <c r="X114">
        <v>1</v>
      </c>
      <c r="Y114">
        <v>125</v>
      </c>
      <c r="Z114">
        <v>125</v>
      </c>
      <c r="AA114">
        <v>0.1</v>
      </c>
      <c r="AB114" t="s">
        <v>374</v>
      </c>
      <c r="AC114">
        <v>0</v>
      </c>
      <c r="AD114">
        <v>0</v>
      </c>
      <c r="AE114">
        <v>0</v>
      </c>
      <c r="AF114">
        <v>0</v>
      </c>
      <c r="AG114">
        <v>-179</v>
      </c>
      <c r="AH114">
        <v>179</v>
      </c>
      <c r="AI114">
        <v>-89</v>
      </c>
      <c r="AJ114">
        <v>89</v>
      </c>
      <c r="AO114">
        <v>5</v>
      </c>
      <c r="AP114">
        <v>1</v>
      </c>
      <c r="AS114" s="2">
        <v>1.25</v>
      </c>
      <c r="AT114" s="2">
        <v>2.5</v>
      </c>
      <c r="AU114" s="2">
        <v>1</v>
      </c>
      <c r="AV114" s="2">
        <v>0.88</v>
      </c>
      <c r="AX114">
        <v>0.42</v>
      </c>
      <c r="BA114">
        <v>1</v>
      </c>
      <c r="BB114">
        <v>0.11799999999999999</v>
      </c>
      <c r="BC114" s="2" t="s">
        <v>470</v>
      </c>
      <c r="BD114" s="2">
        <v>0.3</v>
      </c>
      <c r="BE114" s="2">
        <v>0.6</v>
      </c>
      <c r="BF114" s="2">
        <v>0.7</v>
      </c>
      <c r="BG114">
        <v>0.55000000000000004</v>
      </c>
      <c r="BH114">
        <v>0.55000000000000004</v>
      </c>
      <c r="BK114" s="2">
        <v>0.78</v>
      </c>
    </row>
    <row r="115" spans="1:64" hidden="1" x14ac:dyDescent="0.25">
      <c r="A115" t="s">
        <v>327</v>
      </c>
      <c r="B115" t="s">
        <v>483</v>
      </c>
      <c r="C115" t="s">
        <v>387</v>
      </c>
      <c r="D115" t="s">
        <v>388</v>
      </c>
      <c r="E115">
        <v>2000</v>
      </c>
      <c r="F115">
        <v>2000</v>
      </c>
      <c r="G115" t="s">
        <v>383</v>
      </c>
      <c r="H115" t="s">
        <v>384</v>
      </c>
      <c r="I115" t="s">
        <v>414</v>
      </c>
      <c r="J115" t="s">
        <v>392</v>
      </c>
      <c r="K115">
        <v>20000</v>
      </c>
      <c r="L115">
        <v>2400</v>
      </c>
      <c r="M115">
        <v>0</v>
      </c>
      <c r="N115">
        <v>0</v>
      </c>
      <c r="O115">
        <v>0</v>
      </c>
      <c r="P115">
        <v>0</v>
      </c>
      <c r="Q115">
        <v>1</v>
      </c>
      <c r="R115">
        <v>0</v>
      </c>
      <c r="S115">
        <v>0</v>
      </c>
      <c r="T115">
        <v>15</v>
      </c>
      <c r="U115">
        <v>0</v>
      </c>
      <c r="V115">
        <v>0</v>
      </c>
      <c r="W115">
        <v>1</v>
      </c>
      <c r="X115">
        <v>1</v>
      </c>
      <c r="Y115">
        <v>0</v>
      </c>
      <c r="Z115">
        <v>0</v>
      </c>
      <c r="AA115">
        <v>0.1</v>
      </c>
      <c r="AB115" t="s">
        <v>451</v>
      </c>
      <c r="AC115">
        <v>0</v>
      </c>
      <c r="AD115">
        <v>0</v>
      </c>
      <c r="AE115">
        <v>0</v>
      </c>
      <c r="AF115">
        <v>45</v>
      </c>
      <c r="AG115">
        <v>0</v>
      </c>
      <c r="AH115">
        <v>0</v>
      </c>
      <c r="AI115">
        <v>0</v>
      </c>
      <c r="AJ115">
        <v>0</v>
      </c>
      <c r="AO115">
        <v>0</v>
      </c>
      <c r="AP115">
        <v>0</v>
      </c>
      <c r="BA115">
        <v>1</v>
      </c>
    </row>
    <row r="116" spans="1:64" x14ac:dyDescent="0.25">
      <c r="A116" t="s">
        <v>327</v>
      </c>
      <c r="B116" t="s">
        <v>167</v>
      </c>
      <c r="C116" t="s">
        <v>387</v>
      </c>
      <c r="D116" t="s">
        <v>388</v>
      </c>
      <c r="E116">
        <v>2000</v>
      </c>
      <c r="F116">
        <v>2000</v>
      </c>
      <c r="G116" t="s">
        <v>383</v>
      </c>
      <c r="H116" t="s">
        <v>384</v>
      </c>
      <c r="I116" t="s">
        <v>414</v>
      </c>
      <c r="J116" t="s">
        <v>392</v>
      </c>
      <c r="K116">
        <v>20000</v>
      </c>
      <c r="L116">
        <v>2400</v>
      </c>
      <c r="M116">
        <v>0</v>
      </c>
      <c r="N116">
        <v>0</v>
      </c>
      <c r="O116">
        <v>0</v>
      </c>
      <c r="P116">
        <v>0</v>
      </c>
      <c r="Q116">
        <v>1</v>
      </c>
      <c r="R116">
        <v>0</v>
      </c>
      <c r="S116">
        <v>0</v>
      </c>
      <c r="T116">
        <v>15</v>
      </c>
      <c r="U116">
        <v>0</v>
      </c>
      <c r="V116">
        <v>0</v>
      </c>
      <c r="W116">
        <v>1</v>
      </c>
      <c r="X116">
        <v>1</v>
      </c>
      <c r="Y116">
        <v>0</v>
      </c>
      <c r="Z116">
        <v>0</v>
      </c>
      <c r="AA116">
        <v>0.1</v>
      </c>
      <c r="AB116" t="s">
        <v>451</v>
      </c>
      <c r="AC116">
        <v>0</v>
      </c>
      <c r="AD116">
        <v>0</v>
      </c>
      <c r="AE116">
        <v>0</v>
      </c>
      <c r="AF116">
        <v>45</v>
      </c>
      <c r="AG116">
        <v>0</v>
      </c>
      <c r="AH116">
        <v>0</v>
      </c>
      <c r="AI116">
        <v>0</v>
      </c>
      <c r="AJ116">
        <v>0</v>
      </c>
      <c r="AO116">
        <v>0</v>
      </c>
      <c r="AP116">
        <v>0</v>
      </c>
      <c r="BA116">
        <v>1</v>
      </c>
    </row>
    <row r="117" spans="1:64" hidden="1" x14ac:dyDescent="0.25">
      <c r="A117" t="s">
        <v>330</v>
      </c>
      <c r="B117" t="s">
        <v>483</v>
      </c>
      <c r="C117" t="s">
        <v>387</v>
      </c>
      <c r="D117" t="s">
        <v>409</v>
      </c>
      <c r="E117">
        <v>0</v>
      </c>
      <c r="F117">
        <v>0</v>
      </c>
      <c r="G117" t="s">
        <v>390</v>
      </c>
      <c r="H117" t="s">
        <v>384</v>
      </c>
      <c r="I117" t="s">
        <v>408</v>
      </c>
      <c r="J117" t="s">
        <v>386</v>
      </c>
      <c r="K117">
        <v>1050</v>
      </c>
      <c r="L117" t="s">
        <v>379</v>
      </c>
      <c r="M117">
        <v>0</v>
      </c>
      <c r="N117">
        <v>0</v>
      </c>
      <c r="O117">
        <v>0</v>
      </c>
      <c r="P117">
        <v>0</v>
      </c>
      <c r="Q117">
        <v>1</v>
      </c>
      <c r="R117">
        <v>1</v>
      </c>
      <c r="S117">
        <v>0</v>
      </c>
      <c r="T117">
        <v>37</v>
      </c>
      <c r="U117">
        <v>0</v>
      </c>
      <c r="V117">
        <v>0</v>
      </c>
      <c r="W117">
        <v>0</v>
      </c>
      <c r="X117">
        <v>0</v>
      </c>
      <c r="Y117">
        <v>50</v>
      </c>
      <c r="Z117">
        <v>50</v>
      </c>
      <c r="AA117">
        <v>0.1</v>
      </c>
      <c r="AB117" t="s">
        <v>374</v>
      </c>
      <c r="AC117">
        <v>0</v>
      </c>
      <c r="AD117">
        <v>0</v>
      </c>
      <c r="AE117">
        <v>0</v>
      </c>
      <c r="AF117">
        <v>0</v>
      </c>
      <c r="AG117">
        <v>-45</v>
      </c>
      <c r="AH117">
        <v>145</v>
      </c>
      <c r="AI117">
        <v>-10</v>
      </c>
      <c r="AJ117">
        <v>30</v>
      </c>
      <c r="AK117" t="s">
        <v>410</v>
      </c>
      <c r="AL117" t="s">
        <v>409</v>
      </c>
      <c r="AM117">
        <v>0</v>
      </c>
      <c r="AN117">
        <v>0</v>
      </c>
      <c r="AO117">
        <v>5</v>
      </c>
      <c r="AP117">
        <v>1</v>
      </c>
      <c r="AQ117">
        <v>7.4999999999999997E-2</v>
      </c>
      <c r="AS117">
        <v>0.15</v>
      </c>
      <c r="AU117">
        <v>0.88</v>
      </c>
      <c r="AV117">
        <v>1.1299999999999999</v>
      </c>
      <c r="AW117">
        <v>0.4</v>
      </c>
      <c r="AX117">
        <v>0.12</v>
      </c>
      <c r="AY117">
        <v>0.35</v>
      </c>
      <c r="BA117">
        <v>1</v>
      </c>
      <c r="BB117">
        <v>1.4999999999999999E-2</v>
      </c>
      <c r="BD117">
        <v>1.4999999999999999E-2</v>
      </c>
      <c r="BF117">
        <v>0.78</v>
      </c>
      <c r="BG117">
        <v>0.68</v>
      </c>
      <c r="BH117">
        <v>0.68</v>
      </c>
      <c r="BK117">
        <v>0.5</v>
      </c>
    </row>
    <row r="118" spans="1:64" x14ac:dyDescent="0.25">
      <c r="A118" t="s">
        <v>330</v>
      </c>
      <c r="B118" t="s">
        <v>167</v>
      </c>
      <c r="C118" t="s">
        <v>387</v>
      </c>
      <c r="D118" t="s">
        <v>409</v>
      </c>
      <c r="E118">
        <v>0</v>
      </c>
      <c r="F118">
        <v>0</v>
      </c>
      <c r="G118" t="s">
        <v>390</v>
      </c>
      <c r="H118" t="s">
        <v>384</v>
      </c>
      <c r="I118" t="s">
        <v>408</v>
      </c>
      <c r="J118" t="s">
        <v>386</v>
      </c>
      <c r="K118" s="2">
        <v>1000</v>
      </c>
      <c r="L118" t="s">
        <v>379</v>
      </c>
      <c r="M118">
        <v>0</v>
      </c>
      <c r="N118">
        <v>0</v>
      </c>
      <c r="O118">
        <v>0</v>
      </c>
      <c r="P118">
        <v>0</v>
      </c>
      <c r="Q118">
        <v>1</v>
      </c>
      <c r="R118">
        <v>1</v>
      </c>
      <c r="S118">
        <v>0</v>
      </c>
      <c r="T118">
        <v>37</v>
      </c>
      <c r="U118">
        <v>0</v>
      </c>
      <c r="V118">
        <v>0</v>
      </c>
      <c r="W118">
        <v>0</v>
      </c>
      <c r="X118">
        <v>0</v>
      </c>
      <c r="Y118">
        <v>50</v>
      </c>
      <c r="Z118">
        <v>50</v>
      </c>
      <c r="AA118">
        <v>0.1</v>
      </c>
      <c r="AB118" t="s">
        <v>374</v>
      </c>
      <c r="AC118">
        <v>0</v>
      </c>
      <c r="AD118">
        <v>0</v>
      </c>
      <c r="AE118">
        <v>0</v>
      </c>
      <c r="AF118">
        <v>0</v>
      </c>
      <c r="AG118">
        <v>-45</v>
      </c>
      <c r="AH118">
        <v>145</v>
      </c>
      <c r="AI118">
        <v>-10</v>
      </c>
      <c r="AJ118">
        <v>30</v>
      </c>
      <c r="AK118" t="s">
        <v>410</v>
      </c>
      <c r="AL118" t="s">
        <v>409</v>
      </c>
      <c r="AM118">
        <v>0</v>
      </c>
      <c r="AN118">
        <v>0</v>
      </c>
      <c r="AO118">
        <v>5</v>
      </c>
      <c r="AP118">
        <v>1</v>
      </c>
      <c r="AQ118" s="2">
        <v>0.75</v>
      </c>
      <c r="AR118" s="2">
        <v>0.75</v>
      </c>
      <c r="AS118" s="2">
        <v>0.75</v>
      </c>
      <c r="AT118" s="2">
        <v>0.75</v>
      </c>
      <c r="AU118">
        <v>0.88</v>
      </c>
      <c r="AV118">
        <v>1.1299999999999999</v>
      </c>
      <c r="AW118">
        <v>0.4</v>
      </c>
      <c r="AX118">
        <v>0.12</v>
      </c>
      <c r="AY118">
        <v>0.35</v>
      </c>
      <c r="BA118">
        <v>1</v>
      </c>
      <c r="BB118">
        <v>1.4999999999999999E-2</v>
      </c>
      <c r="BC118" s="2">
        <v>1.4999999999999999E-2</v>
      </c>
      <c r="BD118">
        <v>1.4999999999999999E-2</v>
      </c>
      <c r="BE118" s="2">
        <v>1.4999999999999999E-2</v>
      </c>
      <c r="BF118">
        <v>0.78</v>
      </c>
      <c r="BG118">
        <v>0.68</v>
      </c>
      <c r="BH118">
        <v>0.68</v>
      </c>
      <c r="BK118">
        <v>0.5</v>
      </c>
    </row>
    <row r="119" spans="1:64" hidden="1" x14ac:dyDescent="0.25">
      <c r="A119" t="s">
        <v>331</v>
      </c>
      <c r="B119" t="s">
        <v>483</v>
      </c>
      <c r="C119" t="s">
        <v>387</v>
      </c>
      <c r="D119" t="s">
        <v>409</v>
      </c>
      <c r="E119">
        <v>0</v>
      </c>
      <c r="F119">
        <v>0</v>
      </c>
      <c r="G119" t="s">
        <v>390</v>
      </c>
      <c r="H119" t="s">
        <v>384</v>
      </c>
      <c r="I119" t="s">
        <v>408</v>
      </c>
      <c r="J119" t="s">
        <v>386</v>
      </c>
      <c r="K119">
        <v>1050</v>
      </c>
      <c r="L119" t="s">
        <v>379</v>
      </c>
      <c r="M119">
        <v>0</v>
      </c>
      <c r="N119">
        <v>0</v>
      </c>
      <c r="O119">
        <v>0</v>
      </c>
      <c r="P119">
        <v>0</v>
      </c>
      <c r="Q119">
        <v>1</v>
      </c>
      <c r="R119">
        <v>1</v>
      </c>
      <c r="S119">
        <v>0</v>
      </c>
      <c r="T119">
        <v>37</v>
      </c>
      <c r="U119">
        <v>0</v>
      </c>
      <c r="V119">
        <v>0</v>
      </c>
      <c r="W119">
        <v>0</v>
      </c>
      <c r="X119">
        <v>0</v>
      </c>
      <c r="Y119">
        <v>50</v>
      </c>
      <c r="Z119">
        <v>50</v>
      </c>
      <c r="AA119">
        <v>0.1</v>
      </c>
      <c r="AB119" t="s">
        <v>374</v>
      </c>
      <c r="AC119">
        <v>0</v>
      </c>
      <c r="AD119">
        <v>0</v>
      </c>
      <c r="AE119">
        <v>0</v>
      </c>
      <c r="AF119">
        <v>0</v>
      </c>
      <c r="AG119">
        <v>-145</v>
      </c>
      <c r="AH119">
        <v>45</v>
      </c>
      <c r="AI119">
        <v>-10</v>
      </c>
      <c r="AJ119">
        <v>30</v>
      </c>
      <c r="AK119" t="s">
        <v>410</v>
      </c>
      <c r="AL119" t="s">
        <v>409</v>
      </c>
      <c r="AM119">
        <v>0</v>
      </c>
      <c r="AN119">
        <v>0</v>
      </c>
      <c r="AO119">
        <v>5</v>
      </c>
      <c r="AP119">
        <v>1</v>
      </c>
      <c r="AQ119">
        <v>7.4999999999999997E-2</v>
      </c>
      <c r="AS119">
        <v>0.15</v>
      </c>
      <c r="AU119">
        <v>0.88</v>
      </c>
      <c r="AV119">
        <v>1.1299999999999999</v>
      </c>
      <c r="AW119">
        <v>0.4</v>
      </c>
      <c r="AX119">
        <v>0.12</v>
      </c>
      <c r="AY119">
        <v>0.35</v>
      </c>
      <c r="BA119">
        <v>1</v>
      </c>
      <c r="BB119">
        <v>1.4999999999999999E-2</v>
      </c>
      <c r="BD119">
        <v>1.4999999999999999E-2</v>
      </c>
      <c r="BF119">
        <v>0.78</v>
      </c>
      <c r="BG119">
        <v>0.68</v>
      </c>
      <c r="BH119">
        <v>0.68</v>
      </c>
      <c r="BK119">
        <v>0.5</v>
      </c>
    </row>
    <row r="120" spans="1:64" x14ac:dyDescent="0.25">
      <c r="A120" t="s">
        <v>331</v>
      </c>
      <c r="B120" t="s">
        <v>167</v>
      </c>
      <c r="C120" t="s">
        <v>387</v>
      </c>
      <c r="D120" t="s">
        <v>409</v>
      </c>
      <c r="E120">
        <v>0</v>
      </c>
      <c r="F120">
        <v>0</v>
      </c>
      <c r="G120" t="s">
        <v>390</v>
      </c>
      <c r="H120" t="s">
        <v>384</v>
      </c>
      <c r="I120" t="s">
        <v>408</v>
      </c>
      <c r="J120" t="s">
        <v>386</v>
      </c>
      <c r="K120" s="2">
        <v>1000</v>
      </c>
      <c r="L120" t="s">
        <v>379</v>
      </c>
      <c r="M120">
        <v>0</v>
      </c>
      <c r="N120">
        <v>0</v>
      </c>
      <c r="O120">
        <v>0</v>
      </c>
      <c r="P120">
        <v>0</v>
      </c>
      <c r="Q120">
        <v>1</v>
      </c>
      <c r="R120">
        <v>1</v>
      </c>
      <c r="S120">
        <v>0</v>
      </c>
      <c r="T120">
        <v>37</v>
      </c>
      <c r="U120">
        <v>0</v>
      </c>
      <c r="V120">
        <v>0</v>
      </c>
      <c r="W120">
        <v>0</v>
      </c>
      <c r="X120">
        <v>0</v>
      </c>
      <c r="Y120">
        <v>50</v>
      </c>
      <c r="Z120">
        <v>50</v>
      </c>
      <c r="AA120">
        <v>0.1</v>
      </c>
      <c r="AB120" t="s">
        <v>374</v>
      </c>
      <c r="AC120">
        <v>0</v>
      </c>
      <c r="AD120">
        <v>0</v>
      </c>
      <c r="AE120">
        <v>0</v>
      </c>
      <c r="AF120">
        <v>0</v>
      </c>
      <c r="AG120">
        <v>-145</v>
      </c>
      <c r="AH120">
        <v>45</v>
      </c>
      <c r="AI120">
        <v>-10</v>
      </c>
      <c r="AJ120">
        <v>30</v>
      </c>
      <c r="AK120" t="s">
        <v>410</v>
      </c>
      <c r="AL120" t="s">
        <v>409</v>
      </c>
      <c r="AM120">
        <v>0</v>
      </c>
      <c r="AN120">
        <v>0</v>
      </c>
      <c r="AO120">
        <v>5</v>
      </c>
      <c r="AP120">
        <v>1</v>
      </c>
      <c r="AQ120" s="2">
        <v>0.75</v>
      </c>
      <c r="AR120" s="2">
        <v>0.75</v>
      </c>
      <c r="AS120" s="2">
        <v>0.75</v>
      </c>
      <c r="AT120" s="2">
        <v>0.75</v>
      </c>
      <c r="AU120">
        <v>0.88</v>
      </c>
      <c r="AV120">
        <v>1.1299999999999999</v>
      </c>
      <c r="AW120">
        <v>0.4</v>
      </c>
      <c r="AX120">
        <v>0.12</v>
      </c>
      <c r="AY120">
        <v>0.35</v>
      </c>
      <c r="BA120">
        <v>1</v>
      </c>
      <c r="BB120">
        <v>1.4999999999999999E-2</v>
      </c>
      <c r="BC120" s="2">
        <v>1.4999999999999999E-2</v>
      </c>
      <c r="BD120">
        <v>1.4999999999999999E-2</v>
      </c>
      <c r="BE120" s="2">
        <v>1.4999999999999999E-2</v>
      </c>
      <c r="BF120">
        <v>0.78</v>
      </c>
      <c r="BG120">
        <v>0.68</v>
      </c>
      <c r="BH120">
        <v>0.68</v>
      </c>
      <c r="BK120">
        <v>0.5</v>
      </c>
    </row>
    <row r="121" spans="1:64" hidden="1" x14ac:dyDescent="0.25">
      <c r="A121" t="s">
        <v>332</v>
      </c>
      <c r="B121" t="s">
        <v>483</v>
      </c>
      <c r="C121" t="s">
        <v>387</v>
      </c>
      <c r="D121" t="s">
        <v>388</v>
      </c>
      <c r="E121">
        <v>70</v>
      </c>
      <c r="F121">
        <v>70</v>
      </c>
      <c r="G121" t="s">
        <v>396</v>
      </c>
      <c r="H121" t="s">
        <v>400</v>
      </c>
      <c r="I121" t="s">
        <v>401</v>
      </c>
      <c r="J121" t="s">
        <v>392</v>
      </c>
      <c r="K121">
        <v>0</v>
      </c>
      <c r="L121">
        <v>0</v>
      </c>
      <c r="M121">
        <v>38</v>
      </c>
      <c r="N121">
        <v>2</v>
      </c>
      <c r="O121">
        <v>0</v>
      </c>
      <c r="P121">
        <v>0</v>
      </c>
      <c r="Q121">
        <v>10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0.1</v>
      </c>
      <c r="AB121" t="s">
        <v>374</v>
      </c>
      <c r="AC121">
        <v>1</v>
      </c>
      <c r="AD121">
        <v>0</v>
      </c>
      <c r="AE121">
        <v>0</v>
      </c>
      <c r="AF121">
        <v>180</v>
      </c>
      <c r="AG121">
        <v>0</v>
      </c>
      <c r="AH121">
        <v>0</v>
      </c>
      <c r="AI121">
        <v>0</v>
      </c>
      <c r="AJ121">
        <v>0</v>
      </c>
      <c r="AO121">
        <v>5</v>
      </c>
      <c r="AP121">
        <v>1</v>
      </c>
      <c r="AQ121">
        <v>0.1</v>
      </c>
      <c r="AS121">
        <v>0.24</v>
      </c>
      <c r="AU121">
        <v>0.9</v>
      </c>
      <c r="AV121">
        <v>1.1299999999999999</v>
      </c>
      <c r="AW121">
        <v>0.4</v>
      </c>
      <c r="AX121">
        <v>0.12</v>
      </c>
      <c r="AY121">
        <v>0.4</v>
      </c>
    </row>
    <row r="122" spans="1:64" x14ac:dyDescent="0.25">
      <c r="A122" t="s">
        <v>332</v>
      </c>
      <c r="B122" t="s">
        <v>167</v>
      </c>
      <c r="C122" t="s">
        <v>387</v>
      </c>
      <c r="D122" t="s">
        <v>388</v>
      </c>
      <c r="E122" s="2">
        <v>62</v>
      </c>
      <c r="F122" s="2">
        <v>78</v>
      </c>
      <c r="G122" t="s">
        <v>396</v>
      </c>
      <c r="H122" t="s">
        <v>400</v>
      </c>
      <c r="I122" t="s">
        <v>401</v>
      </c>
      <c r="J122" t="s">
        <v>392</v>
      </c>
      <c r="K122">
        <v>0</v>
      </c>
      <c r="L122">
        <v>0</v>
      </c>
      <c r="M122" s="2">
        <v>40</v>
      </c>
      <c r="N122">
        <v>2</v>
      </c>
      <c r="O122">
        <v>0</v>
      </c>
      <c r="P122">
        <v>0</v>
      </c>
      <c r="Q122">
        <v>10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0.1</v>
      </c>
      <c r="AB122" t="s">
        <v>374</v>
      </c>
      <c r="AC122">
        <v>1</v>
      </c>
      <c r="AD122">
        <v>0</v>
      </c>
      <c r="AE122">
        <v>0</v>
      </c>
      <c r="AF122">
        <v>180</v>
      </c>
      <c r="AG122">
        <v>0</v>
      </c>
      <c r="AH122">
        <v>0</v>
      </c>
      <c r="AI122">
        <v>0</v>
      </c>
      <c r="AJ122">
        <v>0</v>
      </c>
      <c r="AO122">
        <v>5</v>
      </c>
      <c r="AP122">
        <v>1</v>
      </c>
      <c r="AQ122" s="2">
        <v>1</v>
      </c>
      <c r="AR122" s="2">
        <v>2</v>
      </c>
      <c r="AS122" s="2">
        <v>1</v>
      </c>
      <c r="AT122" s="2">
        <v>2</v>
      </c>
      <c r="AU122">
        <v>0.9</v>
      </c>
      <c r="AV122" s="2">
        <v>1</v>
      </c>
      <c r="AW122" s="2">
        <v>0.84</v>
      </c>
      <c r="AX122" s="2">
        <v>1</v>
      </c>
      <c r="AY122" s="2">
        <v>0.9</v>
      </c>
    </row>
    <row r="123" spans="1:64" hidden="1" x14ac:dyDescent="0.25">
      <c r="A123" t="s">
        <v>328</v>
      </c>
      <c r="B123" t="s">
        <v>483</v>
      </c>
      <c r="C123" t="s">
        <v>387</v>
      </c>
      <c r="D123" t="s">
        <v>388</v>
      </c>
      <c r="E123" t="s">
        <v>502</v>
      </c>
      <c r="F123" t="s">
        <v>503</v>
      </c>
      <c r="G123" t="s">
        <v>390</v>
      </c>
      <c r="H123" t="s">
        <v>384</v>
      </c>
      <c r="I123" t="s">
        <v>414</v>
      </c>
      <c r="J123" t="s">
        <v>392</v>
      </c>
      <c r="K123">
        <v>3500</v>
      </c>
      <c r="L123" t="s">
        <v>379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1</v>
      </c>
      <c r="S123">
        <v>1</v>
      </c>
      <c r="T123" t="s">
        <v>501</v>
      </c>
      <c r="U123">
        <v>0</v>
      </c>
      <c r="V123">
        <v>0</v>
      </c>
      <c r="W123">
        <v>1</v>
      </c>
      <c r="X123">
        <v>0</v>
      </c>
      <c r="Y123">
        <v>50</v>
      </c>
      <c r="Z123">
        <v>50</v>
      </c>
      <c r="AA123">
        <v>0.1</v>
      </c>
      <c r="AB123" t="s">
        <v>374</v>
      </c>
      <c r="AC123">
        <v>1</v>
      </c>
      <c r="AD123">
        <v>0</v>
      </c>
      <c r="AE123">
        <v>0</v>
      </c>
      <c r="AF123">
        <v>0</v>
      </c>
      <c r="AG123">
        <v>-45</v>
      </c>
      <c r="AH123">
        <v>145</v>
      </c>
      <c r="AI123">
        <v>-10</v>
      </c>
      <c r="AJ123">
        <v>30</v>
      </c>
      <c r="AO123">
        <v>5</v>
      </c>
      <c r="AP123">
        <v>1</v>
      </c>
      <c r="AQ123">
        <v>0.61</v>
      </c>
      <c r="AS123">
        <v>1.06</v>
      </c>
      <c r="AU123">
        <v>1.1399999999999999</v>
      </c>
      <c r="AV123">
        <v>1.18</v>
      </c>
      <c r="AX123">
        <v>0.7</v>
      </c>
      <c r="BA123">
        <v>1</v>
      </c>
      <c r="BB123">
        <v>0.109</v>
      </c>
      <c r="BD123">
        <v>0.13900000000000001</v>
      </c>
      <c r="BF123">
        <v>0.8</v>
      </c>
      <c r="BG123">
        <v>0.6</v>
      </c>
      <c r="BH123">
        <v>0.6</v>
      </c>
      <c r="BK123">
        <v>0.6</v>
      </c>
    </row>
    <row r="124" spans="1:64" x14ac:dyDescent="0.25">
      <c r="A124" t="s">
        <v>328</v>
      </c>
      <c r="B124" t="s">
        <v>167</v>
      </c>
      <c r="C124" t="s">
        <v>387</v>
      </c>
      <c r="D124" t="s">
        <v>388</v>
      </c>
      <c r="E124" s="2">
        <v>98</v>
      </c>
      <c r="F124" s="2">
        <v>102</v>
      </c>
      <c r="G124" t="s">
        <v>390</v>
      </c>
      <c r="H124" t="s">
        <v>384</v>
      </c>
      <c r="I124" t="s">
        <v>414</v>
      </c>
      <c r="J124" t="s">
        <v>392</v>
      </c>
      <c r="K124" s="2">
        <v>3300</v>
      </c>
      <c r="L124" s="2">
        <v>1500</v>
      </c>
      <c r="M124">
        <v>0</v>
      </c>
      <c r="N124">
        <v>0</v>
      </c>
      <c r="O124">
        <v>0</v>
      </c>
      <c r="P124">
        <v>0</v>
      </c>
      <c r="Q124">
        <v>1</v>
      </c>
      <c r="R124">
        <v>1</v>
      </c>
      <c r="S124">
        <v>1</v>
      </c>
      <c r="T124" s="2">
        <v>2</v>
      </c>
      <c r="U124">
        <v>0</v>
      </c>
      <c r="V124">
        <v>0</v>
      </c>
      <c r="W124">
        <v>1</v>
      </c>
      <c r="X124">
        <v>0</v>
      </c>
      <c r="Y124" s="2">
        <v>95</v>
      </c>
      <c r="Z124" s="2">
        <v>95</v>
      </c>
      <c r="AA124">
        <v>0.1</v>
      </c>
      <c r="AB124" t="s">
        <v>374</v>
      </c>
      <c r="AC124">
        <v>1</v>
      </c>
      <c r="AD124">
        <v>0</v>
      </c>
      <c r="AE124">
        <v>0</v>
      </c>
      <c r="AF124">
        <v>0</v>
      </c>
      <c r="AG124">
        <v>-45</v>
      </c>
      <c r="AH124">
        <v>145</v>
      </c>
      <c r="AI124">
        <v>-10</v>
      </c>
      <c r="AJ124">
        <v>30</v>
      </c>
      <c r="AO124">
        <v>5</v>
      </c>
      <c r="AP124">
        <v>1</v>
      </c>
      <c r="AQ124" s="2">
        <v>0.4</v>
      </c>
      <c r="AR124" s="2">
        <v>0.8</v>
      </c>
      <c r="AS124" s="2">
        <v>1</v>
      </c>
      <c r="AT124" s="2">
        <v>2</v>
      </c>
      <c r="AU124" s="2">
        <v>1</v>
      </c>
      <c r="AV124" s="2">
        <v>0.7</v>
      </c>
      <c r="AW124" s="2">
        <v>1.5</v>
      </c>
      <c r="AX124" s="2">
        <v>0.85</v>
      </c>
      <c r="AY124" s="2">
        <v>0.625</v>
      </c>
      <c r="AZ124" s="2">
        <v>0.3</v>
      </c>
      <c r="BA124">
        <v>1</v>
      </c>
      <c r="BB124" s="2">
        <v>0.152</v>
      </c>
      <c r="BC124" s="2">
        <v>0.25</v>
      </c>
      <c r="BD124" s="2">
        <v>0.22</v>
      </c>
      <c r="BE124" s="2">
        <v>0.44</v>
      </c>
      <c r="BF124">
        <v>0.8</v>
      </c>
      <c r="BG124" s="2">
        <v>0.9</v>
      </c>
      <c r="BH124" s="2">
        <v>0.9</v>
      </c>
      <c r="BK124">
        <v>0.6</v>
      </c>
    </row>
    <row r="125" spans="1:64" hidden="1" x14ac:dyDescent="0.25">
      <c r="A125" t="s">
        <v>329</v>
      </c>
      <c r="B125" t="s">
        <v>483</v>
      </c>
      <c r="C125" t="s">
        <v>387</v>
      </c>
      <c r="D125" t="s">
        <v>388</v>
      </c>
      <c r="E125" t="s">
        <v>502</v>
      </c>
      <c r="F125" t="s">
        <v>503</v>
      </c>
      <c r="G125" t="s">
        <v>390</v>
      </c>
      <c r="H125" t="s">
        <v>384</v>
      </c>
      <c r="I125" t="s">
        <v>414</v>
      </c>
      <c r="J125" t="s">
        <v>392</v>
      </c>
      <c r="K125">
        <v>3500</v>
      </c>
      <c r="L125" t="s">
        <v>379</v>
      </c>
      <c r="M125">
        <v>0</v>
      </c>
      <c r="N125">
        <v>0</v>
      </c>
      <c r="O125">
        <v>0</v>
      </c>
      <c r="P125">
        <v>0</v>
      </c>
      <c r="Q125">
        <v>1</v>
      </c>
      <c r="R125">
        <v>1</v>
      </c>
      <c r="S125">
        <v>1</v>
      </c>
      <c r="T125" t="s">
        <v>501</v>
      </c>
      <c r="U125">
        <v>0</v>
      </c>
      <c r="V125">
        <v>0</v>
      </c>
      <c r="W125">
        <v>1</v>
      </c>
      <c r="X125">
        <v>0</v>
      </c>
      <c r="Y125">
        <v>50</v>
      </c>
      <c r="Z125">
        <v>50</v>
      </c>
      <c r="AA125">
        <v>0.1</v>
      </c>
      <c r="AB125" t="s">
        <v>374</v>
      </c>
      <c r="AC125">
        <v>1</v>
      </c>
      <c r="AD125">
        <v>0</v>
      </c>
      <c r="AE125">
        <v>0</v>
      </c>
      <c r="AF125">
        <v>0</v>
      </c>
      <c r="AG125">
        <v>-145</v>
      </c>
      <c r="AH125">
        <v>45</v>
      </c>
      <c r="AI125">
        <v>-10</v>
      </c>
      <c r="AJ125">
        <v>30</v>
      </c>
      <c r="AO125">
        <v>5</v>
      </c>
      <c r="AP125">
        <v>1</v>
      </c>
      <c r="AQ125">
        <v>0.61</v>
      </c>
      <c r="AS125">
        <v>1.06</v>
      </c>
      <c r="AU125">
        <v>1.1399999999999999</v>
      </c>
      <c r="AV125">
        <v>1.18</v>
      </c>
      <c r="AX125">
        <v>0.7</v>
      </c>
      <c r="BA125">
        <v>1</v>
      </c>
      <c r="BB125">
        <v>0.109</v>
      </c>
      <c r="BD125">
        <v>0.13900000000000001</v>
      </c>
      <c r="BF125">
        <v>0.8</v>
      </c>
      <c r="BG125">
        <v>0.6</v>
      </c>
      <c r="BH125">
        <v>0.6</v>
      </c>
      <c r="BK125">
        <v>0.6</v>
      </c>
    </row>
    <row r="126" spans="1:64" x14ac:dyDescent="0.25">
      <c r="A126" t="s">
        <v>329</v>
      </c>
      <c r="B126" t="s">
        <v>167</v>
      </c>
      <c r="C126" t="s">
        <v>387</v>
      </c>
      <c r="D126" t="s">
        <v>388</v>
      </c>
      <c r="E126" s="2">
        <v>98</v>
      </c>
      <c r="F126" s="2">
        <v>102</v>
      </c>
      <c r="G126" t="s">
        <v>390</v>
      </c>
      <c r="H126" t="s">
        <v>384</v>
      </c>
      <c r="I126" t="s">
        <v>414</v>
      </c>
      <c r="J126" t="s">
        <v>392</v>
      </c>
      <c r="K126" s="2">
        <v>3300</v>
      </c>
      <c r="L126" s="2">
        <v>1500</v>
      </c>
      <c r="M126">
        <v>0</v>
      </c>
      <c r="N126">
        <v>0</v>
      </c>
      <c r="O126">
        <v>0</v>
      </c>
      <c r="P126">
        <v>0</v>
      </c>
      <c r="Q126">
        <v>1</v>
      </c>
      <c r="R126">
        <v>1</v>
      </c>
      <c r="S126">
        <v>1</v>
      </c>
      <c r="T126" s="2">
        <v>2</v>
      </c>
      <c r="U126">
        <v>0</v>
      </c>
      <c r="V126">
        <v>0</v>
      </c>
      <c r="W126">
        <v>1</v>
      </c>
      <c r="X126">
        <v>0</v>
      </c>
      <c r="Y126" s="2">
        <v>95</v>
      </c>
      <c r="Z126" s="2">
        <v>95</v>
      </c>
      <c r="AA126">
        <v>0.1</v>
      </c>
      <c r="AB126" t="s">
        <v>374</v>
      </c>
      <c r="AC126">
        <v>1</v>
      </c>
      <c r="AD126">
        <v>0</v>
      </c>
      <c r="AE126">
        <v>0</v>
      </c>
      <c r="AF126">
        <v>0</v>
      </c>
      <c r="AG126">
        <v>-145</v>
      </c>
      <c r="AH126">
        <v>45</v>
      </c>
      <c r="AI126">
        <v>-10</v>
      </c>
      <c r="AJ126">
        <v>30</v>
      </c>
      <c r="AO126">
        <v>5</v>
      </c>
      <c r="AP126">
        <v>1</v>
      </c>
      <c r="AQ126" s="2">
        <v>0.4</v>
      </c>
      <c r="AR126" s="2">
        <v>0.8</v>
      </c>
      <c r="AS126" s="2">
        <v>1</v>
      </c>
      <c r="AT126" s="2">
        <v>2</v>
      </c>
      <c r="AU126" s="2">
        <v>1</v>
      </c>
      <c r="AV126" s="2">
        <v>0.7</v>
      </c>
      <c r="AW126" s="2">
        <v>1.5</v>
      </c>
      <c r="AX126" s="2">
        <v>0.85</v>
      </c>
      <c r="AY126" s="2">
        <v>0.625</v>
      </c>
      <c r="AZ126" s="2">
        <v>0.3</v>
      </c>
      <c r="BA126">
        <v>1</v>
      </c>
      <c r="BB126" s="2">
        <v>0.152</v>
      </c>
      <c r="BC126" s="2">
        <v>0.25</v>
      </c>
      <c r="BD126" s="2">
        <v>0.22</v>
      </c>
      <c r="BE126" s="2">
        <v>0.44</v>
      </c>
      <c r="BF126">
        <v>0.8</v>
      </c>
      <c r="BG126" s="2">
        <v>0.9</v>
      </c>
      <c r="BH126" s="2">
        <v>0.9</v>
      </c>
      <c r="BK126">
        <v>0.6</v>
      </c>
    </row>
    <row r="127" spans="1:64" hidden="1" x14ac:dyDescent="0.25">
      <c r="A127" t="s">
        <v>333</v>
      </c>
      <c r="B127" t="s">
        <v>483</v>
      </c>
      <c r="C127" t="s">
        <v>387</v>
      </c>
      <c r="D127" t="s">
        <v>388</v>
      </c>
      <c r="E127" t="s">
        <v>504</v>
      </c>
      <c r="F127" t="s">
        <v>504</v>
      </c>
      <c r="G127" t="s">
        <v>383</v>
      </c>
      <c r="H127" t="s">
        <v>393</v>
      </c>
      <c r="I127" t="s">
        <v>431</v>
      </c>
      <c r="J127" t="s">
        <v>392</v>
      </c>
      <c r="K127">
        <v>0</v>
      </c>
      <c r="L127">
        <v>4000</v>
      </c>
      <c r="M127">
        <v>0</v>
      </c>
      <c r="N127">
        <v>4</v>
      </c>
      <c r="O127">
        <v>2</v>
      </c>
      <c r="P127">
        <v>0</v>
      </c>
      <c r="Q127">
        <v>20</v>
      </c>
      <c r="R127">
        <v>0</v>
      </c>
      <c r="S127">
        <v>1</v>
      </c>
      <c r="T127">
        <v>7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0.1</v>
      </c>
      <c r="AB127" t="s">
        <v>374</v>
      </c>
      <c r="AC127">
        <v>0</v>
      </c>
      <c r="AD127">
        <v>0</v>
      </c>
      <c r="AE127">
        <v>1000</v>
      </c>
      <c r="AF127">
        <v>6</v>
      </c>
      <c r="AG127">
        <v>0</v>
      </c>
      <c r="AH127">
        <v>0</v>
      </c>
      <c r="AI127">
        <v>0</v>
      </c>
      <c r="AJ127">
        <v>0</v>
      </c>
      <c r="AK127" t="s">
        <v>387</v>
      </c>
      <c r="AL127" t="s">
        <v>395</v>
      </c>
      <c r="AM127">
        <v>-95</v>
      </c>
      <c r="AN127">
        <v>-95</v>
      </c>
      <c r="AO127">
        <v>30</v>
      </c>
      <c r="AP127">
        <v>1</v>
      </c>
      <c r="AX127">
        <v>0.2</v>
      </c>
      <c r="AY127">
        <v>0.3</v>
      </c>
      <c r="BA127">
        <v>1</v>
      </c>
      <c r="BB127">
        <v>0.1</v>
      </c>
      <c r="BD127">
        <v>0.08</v>
      </c>
    </row>
    <row r="128" spans="1:64" x14ac:dyDescent="0.25">
      <c r="A128" t="s">
        <v>333</v>
      </c>
      <c r="B128" t="s">
        <v>167</v>
      </c>
      <c r="C128" t="s">
        <v>387</v>
      </c>
      <c r="D128" t="s">
        <v>388</v>
      </c>
      <c r="E128" s="2">
        <v>2600</v>
      </c>
      <c r="F128" s="2">
        <v>2600</v>
      </c>
      <c r="G128" t="s">
        <v>383</v>
      </c>
      <c r="H128" t="s">
        <v>393</v>
      </c>
      <c r="I128" t="s">
        <v>431</v>
      </c>
      <c r="J128" t="s">
        <v>392</v>
      </c>
      <c r="K128">
        <v>0</v>
      </c>
      <c r="L128" s="2">
        <v>4250</v>
      </c>
      <c r="M128">
        <v>0</v>
      </c>
      <c r="N128">
        <v>4</v>
      </c>
      <c r="O128">
        <v>2</v>
      </c>
      <c r="P128">
        <v>0</v>
      </c>
      <c r="Q128">
        <v>20</v>
      </c>
      <c r="R128">
        <v>0</v>
      </c>
      <c r="S128">
        <v>1</v>
      </c>
      <c r="T128">
        <v>7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0.1</v>
      </c>
      <c r="AB128" t="s">
        <v>374</v>
      </c>
      <c r="AC128">
        <v>0</v>
      </c>
      <c r="AD128">
        <v>0</v>
      </c>
      <c r="AE128">
        <v>1000</v>
      </c>
      <c r="AF128">
        <v>6</v>
      </c>
      <c r="AG128">
        <v>0</v>
      </c>
      <c r="AH128">
        <v>0</v>
      </c>
      <c r="AI128">
        <v>0</v>
      </c>
      <c r="AJ128">
        <v>0</v>
      </c>
      <c r="AK128" t="s">
        <v>387</v>
      </c>
      <c r="AL128" t="s">
        <v>395</v>
      </c>
      <c r="AM128" s="2">
        <v>-125</v>
      </c>
      <c r="AN128" s="2">
        <v>-125</v>
      </c>
      <c r="AO128" s="2">
        <v>35</v>
      </c>
      <c r="AP128">
        <v>1</v>
      </c>
      <c r="AU128" s="2">
        <v>1.1200000000000001</v>
      </c>
      <c r="AV128" s="2">
        <v>1.1200000000000001</v>
      </c>
      <c r="AW128" s="2">
        <v>0.73</v>
      </c>
      <c r="AX128">
        <v>0.2</v>
      </c>
      <c r="AY128" s="2">
        <v>0.35</v>
      </c>
      <c r="BA128">
        <v>1</v>
      </c>
      <c r="BB128">
        <v>0.1</v>
      </c>
      <c r="BC128" s="2">
        <v>0.1</v>
      </c>
      <c r="BD128" s="2" t="s">
        <v>521</v>
      </c>
      <c r="BE128" s="2" t="s">
        <v>521</v>
      </c>
      <c r="BF128" s="2">
        <v>1</v>
      </c>
      <c r="BL128" s="2">
        <v>1</v>
      </c>
    </row>
    <row r="129" spans="1:63" hidden="1" x14ac:dyDescent="0.25">
      <c r="A129" t="s">
        <v>334</v>
      </c>
      <c r="B129" t="s">
        <v>483</v>
      </c>
      <c r="C129" t="s">
        <v>387</v>
      </c>
      <c r="D129" t="s">
        <v>388</v>
      </c>
      <c r="E129" t="s">
        <v>506</v>
      </c>
      <c r="F129" t="s">
        <v>507</v>
      </c>
      <c r="G129" t="s">
        <v>390</v>
      </c>
      <c r="H129" t="s">
        <v>384</v>
      </c>
      <c r="I129" t="s">
        <v>414</v>
      </c>
      <c r="J129" t="s">
        <v>392</v>
      </c>
      <c r="K129">
        <v>3500</v>
      </c>
      <c r="L129" t="s">
        <v>379</v>
      </c>
      <c r="M129">
        <v>0</v>
      </c>
      <c r="N129">
        <v>0</v>
      </c>
      <c r="O129">
        <v>0</v>
      </c>
      <c r="P129">
        <v>0</v>
      </c>
      <c r="Q129">
        <v>1</v>
      </c>
      <c r="R129">
        <v>1</v>
      </c>
      <c r="S129">
        <v>1</v>
      </c>
      <c r="T129" t="s">
        <v>505</v>
      </c>
      <c r="U129">
        <v>0</v>
      </c>
      <c r="V129">
        <v>0</v>
      </c>
      <c r="W129">
        <v>1</v>
      </c>
      <c r="X129">
        <v>0</v>
      </c>
      <c r="Y129">
        <v>95</v>
      </c>
      <c r="Z129">
        <v>95</v>
      </c>
      <c r="AA129">
        <v>0.1</v>
      </c>
      <c r="AB129" t="s">
        <v>374</v>
      </c>
      <c r="AC129">
        <v>1</v>
      </c>
      <c r="AD129">
        <v>0</v>
      </c>
      <c r="AE129">
        <v>0</v>
      </c>
      <c r="AF129">
        <v>0</v>
      </c>
      <c r="AG129">
        <v>-155</v>
      </c>
      <c r="AH129">
        <v>155</v>
      </c>
      <c r="AI129">
        <v>-10</v>
      </c>
      <c r="AJ129">
        <v>33</v>
      </c>
      <c r="AO129">
        <v>5</v>
      </c>
      <c r="AP129">
        <v>1</v>
      </c>
      <c r="AQ129">
        <v>1.02</v>
      </c>
      <c r="AS129">
        <v>0.96</v>
      </c>
      <c r="AX129">
        <v>0.7</v>
      </c>
      <c r="BA129">
        <v>1</v>
      </c>
      <c r="BB129">
        <v>0.1249</v>
      </c>
      <c r="BD129">
        <v>0.13300000000000001</v>
      </c>
      <c r="BF129">
        <v>0.8</v>
      </c>
      <c r="BG129">
        <v>0.6</v>
      </c>
      <c r="BH129">
        <v>0.6</v>
      </c>
      <c r="BK129">
        <v>0.6</v>
      </c>
    </row>
    <row r="130" spans="1:63" x14ac:dyDescent="0.25">
      <c r="A130" t="s">
        <v>334</v>
      </c>
      <c r="B130" t="s">
        <v>167</v>
      </c>
      <c r="C130" t="s">
        <v>387</v>
      </c>
      <c r="D130" t="s">
        <v>388</v>
      </c>
      <c r="E130" s="2">
        <v>70</v>
      </c>
      <c r="F130" s="2">
        <v>70</v>
      </c>
      <c r="G130" t="s">
        <v>390</v>
      </c>
      <c r="H130" t="s">
        <v>384</v>
      </c>
      <c r="I130" t="s">
        <v>414</v>
      </c>
      <c r="J130" t="s">
        <v>392</v>
      </c>
      <c r="K130" s="2">
        <v>3350</v>
      </c>
      <c r="L130" s="2">
        <v>1750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1</v>
      </c>
      <c r="S130">
        <v>1</v>
      </c>
      <c r="T130" s="2">
        <v>1.5</v>
      </c>
      <c r="U130">
        <v>0</v>
      </c>
      <c r="V130">
        <v>0</v>
      </c>
      <c r="W130">
        <v>1</v>
      </c>
      <c r="X130">
        <v>0</v>
      </c>
      <c r="Y130" s="2">
        <v>75</v>
      </c>
      <c r="Z130" s="2">
        <v>75</v>
      </c>
      <c r="AA130">
        <v>0.1</v>
      </c>
      <c r="AB130" t="s">
        <v>374</v>
      </c>
      <c r="AC130">
        <v>1</v>
      </c>
      <c r="AD130">
        <v>0</v>
      </c>
      <c r="AE130">
        <v>0</v>
      </c>
      <c r="AF130">
        <v>0</v>
      </c>
      <c r="AG130">
        <v>-155</v>
      </c>
      <c r="AH130">
        <v>155</v>
      </c>
      <c r="AI130">
        <v>-10</v>
      </c>
      <c r="AJ130">
        <v>33</v>
      </c>
      <c r="AO130">
        <v>5</v>
      </c>
      <c r="AP130">
        <v>1</v>
      </c>
      <c r="AQ130" s="2">
        <v>1</v>
      </c>
      <c r="AR130" s="2">
        <v>2</v>
      </c>
      <c r="AS130" s="2">
        <v>0.5</v>
      </c>
      <c r="AT130" s="2">
        <v>1.4</v>
      </c>
      <c r="AU130" s="2">
        <v>0.8</v>
      </c>
      <c r="AV130" s="2">
        <v>1</v>
      </c>
      <c r="AW130" s="2">
        <v>1</v>
      </c>
      <c r="AX130">
        <v>0.7</v>
      </c>
      <c r="AZ130" s="2">
        <v>0.43</v>
      </c>
      <c r="BA130">
        <v>1</v>
      </c>
      <c r="BB130" s="2">
        <v>0.3</v>
      </c>
      <c r="BC130" s="2">
        <v>0.3</v>
      </c>
      <c r="BD130" s="2">
        <v>0.7</v>
      </c>
      <c r="BE130" s="2">
        <v>0.7</v>
      </c>
      <c r="BF130">
        <v>0.8</v>
      </c>
      <c r="BG130">
        <v>0.6</v>
      </c>
      <c r="BH130">
        <v>0.6</v>
      </c>
      <c r="BK130" s="2">
        <v>0.9</v>
      </c>
    </row>
    <row r="131" spans="1:63" hidden="1" x14ac:dyDescent="0.25">
      <c r="A131" t="s">
        <v>335</v>
      </c>
      <c r="B131" t="s">
        <v>483</v>
      </c>
      <c r="C131" t="s">
        <v>387</v>
      </c>
      <c r="D131" t="s">
        <v>388</v>
      </c>
      <c r="E131">
        <v>5500</v>
      </c>
      <c r="F131">
        <v>5500</v>
      </c>
      <c r="G131" t="s">
        <v>383</v>
      </c>
      <c r="H131" t="s">
        <v>411</v>
      </c>
      <c r="I131" t="s">
        <v>434</v>
      </c>
      <c r="J131" t="s">
        <v>413</v>
      </c>
      <c r="K131">
        <v>300</v>
      </c>
      <c r="L131">
        <v>1000</v>
      </c>
      <c r="M131">
        <v>0</v>
      </c>
      <c r="N131">
        <v>0</v>
      </c>
      <c r="O131">
        <v>0</v>
      </c>
      <c r="P131">
        <v>0</v>
      </c>
      <c r="Q131">
        <v>1</v>
      </c>
      <c r="R131">
        <v>0</v>
      </c>
      <c r="S131">
        <v>0</v>
      </c>
      <c r="T131">
        <v>0.5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0.1</v>
      </c>
      <c r="AB131" t="s">
        <v>374</v>
      </c>
      <c r="AC131">
        <v>0</v>
      </c>
      <c r="AD131">
        <v>0</v>
      </c>
      <c r="AE131">
        <v>0</v>
      </c>
      <c r="AF131">
        <v>179</v>
      </c>
      <c r="AG131">
        <v>0</v>
      </c>
      <c r="AH131">
        <v>0</v>
      </c>
      <c r="AI131">
        <v>0</v>
      </c>
      <c r="AJ131">
        <v>0</v>
      </c>
      <c r="AO131">
        <v>5</v>
      </c>
      <c r="AP131">
        <v>1</v>
      </c>
      <c r="AZ131">
        <v>0</v>
      </c>
      <c r="BA131">
        <v>1</v>
      </c>
      <c r="BB131">
        <v>0</v>
      </c>
      <c r="BD131">
        <v>0</v>
      </c>
    </row>
    <row r="132" spans="1:63" x14ac:dyDescent="0.25">
      <c r="A132" t="s">
        <v>335</v>
      </c>
      <c r="B132" t="s">
        <v>167</v>
      </c>
      <c r="C132" t="s">
        <v>387</v>
      </c>
      <c r="D132" t="s">
        <v>388</v>
      </c>
      <c r="E132">
        <v>5500</v>
      </c>
      <c r="F132">
        <v>5500</v>
      </c>
      <c r="G132" t="s">
        <v>383</v>
      </c>
      <c r="H132" t="s">
        <v>411</v>
      </c>
      <c r="I132" t="s">
        <v>434</v>
      </c>
      <c r="J132" t="s">
        <v>413</v>
      </c>
      <c r="K132">
        <v>300</v>
      </c>
      <c r="L132">
        <v>1000</v>
      </c>
      <c r="M132">
        <v>0</v>
      </c>
      <c r="N132">
        <v>0</v>
      </c>
      <c r="O132">
        <v>0</v>
      </c>
      <c r="P132">
        <v>0</v>
      </c>
      <c r="Q132">
        <v>1</v>
      </c>
      <c r="R132">
        <v>0</v>
      </c>
      <c r="S132">
        <v>0</v>
      </c>
      <c r="T132">
        <v>0.5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0.1</v>
      </c>
      <c r="AB132" t="s">
        <v>374</v>
      </c>
      <c r="AC132">
        <v>0</v>
      </c>
      <c r="AD132">
        <v>0</v>
      </c>
      <c r="AE132">
        <v>0</v>
      </c>
      <c r="AF132">
        <v>179</v>
      </c>
      <c r="AG132">
        <v>0</v>
      </c>
      <c r="AH132">
        <v>0</v>
      </c>
      <c r="AI132">
        <v>0</v>
      </c>
      <c r="AJ132">
        <v>0</v>
      </c>
      <c r="AO132">
        <v>5</v>
      </c>
      <c r="AP132">
        <v>1</v>
      </c>
      <c r="AZ132">
        <v>0</v>
      </c>
      <c r="BA132">
        <v>1</v>
      </c>
      <c r="BB132">
        <v>0</v>
      </c>
      <c r="BD132">
        <v>0</v>
      </c>
    </row>
    <row r="133" spans="1:63" hidden="1" x14ac:dyDescent="0.25">
      <c r="A133" t="s">
        <v>336</v>
      </c>
      <c r="B133" t="s">
        <v>483</v>
      </c>
      <c r="C133" t="s">
        <v>387</v>
      </c>
      <c r="D133" t="s">
        <v>388</v>
      </c>
      <c r="E133" t="s">
        <v>509</v>
      </c>
      <c r="F133" t="s">
        <v>509</v>
      </c>
      <c r="G133" t="s">
        <v>390</v>
      </c>
      <c r="H133" t="s">
        <v>384</v>
      </c>
      <c r="I133" t="s">
        <v>414</v>
      </c>
      <c r="J133" t="s">
        <v>392</v>
      </c>
      <c r="K133">
        <v>3500</v>
      </c>
      <c r="L133" t="s">
        <v>379</v>
      </c>
      <c r="M133">
        <v>0</v>
      </c>
      <c r="N133">
        <v>0</v>
      </c>
      <c r="O133">
        <v>0</v>
      </c>
      <c r="P133">
        <v>0</v>
      </c>
      <c r="Q133">
        <v>1</v>
      </c>
      <c r="R133">
        <v>1</v>
      </c>
      <c r="S133">
        <v>1</v>
      </c>
      <c r="T133" t="s">
        <v>508</v>
      </c>
      <c r="U133">
        <v>0</v>
      </c>
      <c r="V133">
        <v>0</v>
      </c>
      <c r="W133">
        <v>1</v>
      </c>
      <c r="X133">
        <v>0</v>
      </c>
      <c r="Y133">
        <v>85</v>
      </c>
      <c r="Z133">
        <v>85</v>
      </c>
      <c r="AA133">
        <v>0.1</v>
      </c>
      <c r="AB133" t="s">
        <v>374</v>
      </c>
      <c r="AC133">
        <v>1</v>
      </c>
      <c r="AD133">
        <v>0</v>
      </c>
      <c r="AE133">
        <v>0</v>
      </c>
      <c r="AF133">
        <v>0</v>
      </c>
      <c r="AG133">
        <v>-155</v>
      </c>
      <c r="AH133">
        <v>45</v>
      </c>
      <c r="AI133">
        <v>-10</v>
      </c>
      <c r="AJ133">
        <v>33</v>
      </c>
      <c r="AO133">
        <v>5</v>
      </c>
      <c r="AP133">
        <v>1</v>
      </c>
      <c r="AQ133">
        <v>1.04</v>
      </c>
      <c r="AS133">
        <v>0.77</v>
      </c>
      <c r="AX133">
        <v>0.8</v>
      </c>
      <c r="BA133">
        <v>1</v>
      </c>
      <c r="BB133">
        <v>0.13900000000000001</v>
      </c>
      <c r="BD133">
        <v>0.13200000000000001</v>
      </c>
      <c r="BF133">
        <v>0.8</v>
      </c>
      <c r="BG133">
        <v>0.6</v>
      </c>
      <c r="BH133">
        <v>0.6</v>
      </c>
      <c r="BK133">
        <v>0.6</v>
      </c>
    </row>
    <row r="134" spans="1:63" x14ac:dyDescent="0.25">
      <c r="A134" t="s">
        <v>336</v>
      </c>
      <c r="B134" t="s">
        <v>167</v>
      </c>
      <c r="C134" t="s">
        <v>387</v>
      </c>
      <c r="D134" t="s">
        <v>388</v>
      </c>
      <c r="E134" s="2">
        <v>27</v>
      </c>
      <c r="F134" s="2">
        <v>27</v>
      </c>
      <c r="G134" t="s">
        <v>390</v>
      </c>
      <c r="H134" t="s">
        <v>384</v>
      </c>
      <c r="I134" s="2" t="s">
        <v>429</v>
      </c>
      <c r="J134" t="s">
        <v>392</v>
      </c>
      <c r="K134">
        <v>3500</v>
      </c>
      <c r="L134" s="2">
        <v>1750</v>
      </c>
      <c r="M134">
        <v>0</v>
      </c>
      <c r="N134">
        <v>0</v>
      </c>
      <c r="O134">
        <v>0</v>
      </c>
      <c r="P134">
        <v>0</v>
      </c>
      <c r="Q134">
        <v>1</v>
      </c>
      <c r="R134">
        <v>1</v>
      </c>
      <c r="S134">
        <v>1</v>
      </c>
      <c r="T134" s="2">
        <v>1.7</v>
      </c>
      <c r="U134" s="2">
        <v>2</v>
      </c>
      <c r="V134" s="2">
        <v>1</v>
      </c>
      <c r="W134">
        <v>1</v>
      </c>
      <c r="X134">
        <v>0</v>
      </c>
      <c r="Y134" s="2">
        <v>109</v>
      </c>
      <c r="Z134" s="2">
        <v>109</v>
      </c>
      <c r="AA134">
        <v>0.1</v>
      </c>
      <c r="AB134" t="s">
        <v>374</v>
      </c>
      <c r="AC134">
        <v>1</v>
      </c>
      <c r="AD134">
        <v>0</v>
      </c>
      <c r="AE134">
        <v>0</v>
      </c>
      <c r="AF134" s="2">
        <v>10</v>
      </c>
      <c r="AG134" s="2">
        <v>-180</v>
      </c>
      <c r="AH134" s="2">
        <v>180</v>
      </c>
      <c r="AI134">
        <v>-10</v>
      </c>
      <c r="AJ134">
        <v>33</v>
      </c>
      <c r="AO134">
        <v>5</v>
      </c>
      <c r="AP134">
        <v>1</v>
      </c>
      <c r="AQ134" s="2">
        <v>1</v>
      </c>
      <c r="AR134" s="2">
        <v>2</v>
      </c>
      <c r="AS134" s="2">
        <v>1</v>
      </c>
      <c r="AT134" s="2">
        <v>2</v>
      </c>
      <c r="AU134" s="2">
        <v>0.9</v>
      </c>
      <c r="AV134" s="2">
        <v>0.8</v>
      </c>
      <c r="AX134">
        <v>0.8</v>
      </c>
      <c r="AZ134" s="2">
        <v>0.78400000000000003</v>
      </c>
      <c r="BA134">
        <v>1</v>
      </c>
      <c r="BB134" s="2">
        <v>0.3</v>
      </c>
      <c r="BC134" s="2">
        <v>0.6</v>
      </c>
      <c r="BD134" s="2">
        <v>0.62</v>
      </c>
      <c r="BE134" s="2">
        <v>0.69</v>
      </c>
      <c r="BF134" s="2">
        <v>0.6</v>
      </c>
      <c r="BG134">
        <v>0.6</v>
      </c>
      <c r="BH134">
        <v>0.6</v>
      </c>
      <c r="BK134">
        <v>0.6</v>
      </c>
    </row>
    <row r="135" spans="1:63" hidden="1" x14ac:dyDescent="0.25">
      <c r="A135" t="s">
        <v>337</v>
      </c>
      <c r="B135" t="s">
        <v>483</v>
      </c>
      <c r="C135" t="s">
        <v>387</v>
      </c>
      <c r="D135" t="s">
        <v>388</v>
      </c>
      <c r="E135" t="s">
        <v>509</v>
      </c>
      <c r="F135" t="s">
        <v>509</v>
      </c>
      <c r="G135" t="s">
        <v>390</v>
      </c>
      <c r="H135" t="s">
        <v>384</v>
      </c>
      <c r="I135" t="s">
        <v>414</v>
      </c>
      <c r="J135" t="s">
        <v>392</v>
      </c>
      <c r="K135">
        <v>3500</v>
      </c>
      <c r="L135" t="s">
        <v>379</v>
      </c>
      <c r="M135">
        <v>0</v>
      </c>
      <c r="N135">
        <v>0</v>
      </c>
      <c r="O135">
        <v>0</v>
      </c>
      <c r="P135">
        <v>0</v>
      </c>
      <c r="Q135">
        <v>1</v>
      </c>
      <c r="R135">
        <v>1</v>
      </c>
      <c r="S135">
        <v>1</v>
      </c>
      <c r="T135" t="s">
        <v>508</v>
      </c>
      <c r="U135">
        <v>0</v>
      </c>
      <c r="V135">
        <v>0</v>
      </c>
      <c r="W135">
        <v>1</v>
      </c>
      <c r="X135">
        <v>0</v>
      </c>
      <c r="Y135">
        <v>85</v>
      </c>
      <c r="Z135">
        <v>85</v>
      </c>
      <c r="AA135">
        <v>0.1</v>
      </c>
      <c r="AB135" t="s">
        <v>374</v>
      </c>
      <c r="AC135">
        <v>1</v>
      </c>
      <c r="AD135">
        <v>0</v>
      </c>
      <c r="AE135">
        <v>0</v>
      </c>
      <c r="AF135">
        <v>0</v>
      </c>
      <c r="AG135">
        <v>-45</v>
      </c>
      <c r="AH135">
        <v>155</v>
      </c>
      <c r="AI135">
        <v>-10</v>
      </c>
      <c r="AJ135">
        <v>33</v>
      </c>
      <c r="AO135">
        <v>5</v>
      </c>
      <c r="AP135">
        <v>1</v>
      </c>
      <c r="AQ135">
        <v>1.04</v>
      </c>
      <c r="AS135">
        <v>0.77</v>
      </c>
      <c r="AX135">
        <v>0.8</v>
      </c>
      <c r="BA135">
        <v>1</v>
      </c>
      <c r="BB135">
        <v>0.13900000000000001</v>
      </c>
      <c r="BD135">
        <v>0.13200000000000001</v>
      </c>
      <c r="BF135">
        <v>0.8</v>
      </c>
      <c r="BG135">
        <v>0.6</v>
      </c>
      <c r="BH135">
        <v>0.6</v>
      </c>
      <c r="BK135">
        <v>0.6</v>
      </c>
    </row>
    <row r="136" spans="1:63" x14ac:dyDescent="0.25">
      <c r="A136" t="s">
        <v>337</v>
      </c>
      <c r="B136" t="s">
        <v>167</v>
      </c>
      <c r="C136" t="s">
        <v>387</v>
      </c>
      <c r="D136" t="s">
        <v>388</v>
      </c>
      <c r="E136" s="2">
        <v>27</v>
      </c>
      <c r="F136" s="2">
        <v>27</v>
      </c>
      <c r="G136" t="s">
        <v>390</v>
      </c>
      <c r="H136" t="s">
        <v>384</v>
      </c>
      <c r="I136" s="2" t="s">
        <v>429</v>
      </c>
      <c r="J136" t="s">
        <v>392</v>
      </c>
      <c r="K136">
        <v>3500</v>
      </c>
      <c r="L136" s="2">
        <v>1750</v>
      </c>
      <c r="M136">
        <v>0</v>
      </c>
      <c r="N136">
        <v>0</v>
      </c>
      <c r="O136">
        <v>0</v>
      </c>
      <c r="P136">
        <v>0</v>
      </c>
      <c r="Q136">
        <v>1</v>
      </c>
      <c r="R136">
        <v>1</v>
      </c>
      <c r="S136">
        <v>1</v>
      </c>
      <c r="T136" s="2">
        <v>1.7</v>
      </c>
      <c r="U136" s="2">
        <v>2</v>
      </c>
      <c r="V136" s="2">
        <v>1</v>
      </c>
      <c r="W136">
        <v>1</v>
      </c>
      <c r="X136">
        <v>0</v>
      </c>
      <c r="Y136" s="2">
        <v>109</v>
      </c>
      <c r="Z136" s="2">
        <v>109</v>
      </c>
      <c r="AA136">
        <v>0.1</v>
      </c>
      <c r="AB136" t="s">
        <v>374</v>
      </c>
      <c r="AC136">
        <v>1</v>
      </c>
      <c r="AD136">
        <v>0</v>
      </c>
      <c r="AE136">
        <v>0</v>
      </c>
      <c r="AF136" s="2">
        <v>10</v>
      </c>
      <c r="AG136" s="2">
        <v>-180</v>
      </c>
      <c r="AH136" s="2">
        <v>180</v>
      </c>
      <c r="AI136">
        <v>-10</v>
      </c>
      <c r="AJ136">
        <v>33</v>
      </c>
      <c r="AO136">
        <v>5</v>
      </c>
      <c r="AP136">
        <v>1</v>
      </c>
      <c r="AQ136" s="2">
        <v>1</v>
      </c>
      <c r="AR136" s="2">
        <v>2</v>
      </c>
      <c r="AS136" s="2">
        <v>1</v>
      </c>
      <c r="AT136" s="2">
        <v>2</v>
      </c>
      <c r="AU136" s="2">
        <v>0.9</v>
      </c>
      <c r="AV136" s="2">
        <v>0.8</v>
      </c>
      <c r="AX136">
        <v>0.8</v>
      </c>
      <c r="AZ136" s="2">
        <v>0.78400000000000003</v>
      </c>
      <c r="BA136">
        <v>1</v>
      </c>
      <c r="BB136" s="2">
        <v>0.3</v>
      </c>
      <c r="BC136" s="2">
        <v>0.6</v>
      </c>
      <c r="BD136" s="2">
        <v>0.62</v>
      </c>
      <c r="BE136" s="2">
        <v>0.69</v>
      </c>
      <c r="BF136" s="2">
        <v>0.6</v>
      </c>
      <c r="BG136">
        <v>0.6</v>
      </c>
      <c r="BH136">
        <v>0.6</v>
      </c>
      <c r="BK136">
        <v>0.6</v>
      </c>
    </row>
    <row r="137" spans="1:63" hidden="1" x14ac:dyDescent="0.25">
      <c r="A137" t="s">
        <v>338</v>
      </c>
      <c r="B137" t="s">
        <v>483</v>
      </c>
      <c r="C137" t="s">
        <v>387</v>
      </c>
      <c r="D137" t="s">
        <v>388</v>
      </c>
      <c r="E137">
        <v>20</v>
      </c>
      <c r="F137">
        <v>20</v>
      </c>
      <c r="G137" t="s">
        <v>390</v>
      </c>
      <c r="H137" t="s">
        <v>384</v>
      </c>
      <c r="I137" t="s">
        <v>407</v>
      </c>
      <c r="J137" t="s">
        <v>392</v>
      </c>
      <c r="K137">
        <v>750</v>
      </c>
      <c r="L137">
        <v>1000</v>
      </c>
      <c r="M137">
        <v>0</v>
      </c>
      <c r="N137">
        <v>0</v>
      </c>
      <c r="O137">
        <v>0</v>
      </c>
      <c r="P137">
        <v>0</v>
      </c>
      <c r="Q137">
        <v>1</v>
      </c>
      <c r="R137">
        <v>1</v>
      </c>
      <c r="S137">
        <v>0</v>
      </c>
      <c r="T137">
        <v>1.4</v>
      </c>
      <c r="U137">
        <v>0</v>
      </c>
      <c r="V137">
        <v>0</v>
      </c>
      <c r="W137">
        <v>1</v>
      </c>
      <c r="X137">
        <v>0</v>
      </c>
      <c r="Y137">
        <v>60</v>
      </c>
      <c r="Z137">
        <v>60</v>
      </c>
      <c r="AA137">
        <v>0.1</v>
      </c>
      <c r="AB137" t="s">
        <v>374</v>
      </c>
      <c r="AC137">
        <v>0</v>
      </c>
      <c r="AD137">
        <v>0</v>
      </c>
      <c r="AE137">
        <v>0</v>
      </c>
      <c r="AF137">
        <v>0</v>
      </c>
      <c r="AG137">
        <v>-60</v>
      </c>
      <c r="AH137">
        <v>60</v>
      </c>
      <c r="AI137">
        <v>-1</v>
      </c>
      <c r="AJ137">
        <v>10</v>
      </c>
      <c r="AO137">
        <v>5</v>
      </c>
      <c r="AP137">
        <v>1</v>
      </c>
      <c r="AX137">
        <v>0.8</v>
      </c>
      <c r="BA137">
        <v>1</v>
      </c>
      <c r="BB137">
        <v>0.12</v>
      </c>
      <c r="BD137">
        <v>0.13</v>
      </c>
      <c r="BF137">
        <v>0.8</v>
      </c>
      <c r="BG137">
        <v>0.6</v>
      </c>
      <c r="BH137">
        <v>0.6</v>
      </c>
      <c r="BK137">
        <v>0.6</v>
      </c>
    </row>
    <row r="138" spans="1:63" x14ac:dyDescent="0.25">
      <c r="A138" t="s">
        <v>338</v>
      </c>
      <c r="B138" t="s">
        <v>167</v>
      </c>
      <c r="C138" t="s">
        <v>387</v>
      </c>
      <c r="D138" t="s">
        <v>388</v>
      </c>
      <c r="E138">
        <v>20</v>
      </c>
      <c r="F138">
        <v>20</v>
      </c>
      <c r="G138" t="s">
        <v>390</v>
      </c>
      <c r="H138" t="s">
        <v>384</v>
      </c>
      <c r="I138" s="2" t="s">
        <v>414</v>
      </c>
      <c r="J138" t="s">
        <v>392</v>
      </c>
      <c r="K138" s="2">
        <v>3350</v>
      </c>
      <c r="L138" s="2" t="s">
        <v>380</v>
      </c>
      <c r="M138">
        <v>0</v>
      </c>
      <c r="N138">
        <v>0</v>
      </c>
      <c r="O138">
        <v>0</v>
      </c>
      <c r="P138">
        <v>0</v>
      </c>
      <c r="Q138">
        <v>1</v>
      </c>
      <c r="R138">
        <v>1</v>
      </c>
      <c r="S138" s="2">
        <v>1</v>
      </c>
      <c r="T138" s="2">
        <v>0.8</v>
      </c>
      <c r="U138">
        <v>0</v>
      </c>
      <c r="V138">
        <v>0</v>
      </c>
      <c r="W138">
        <v>1</v>
      </c>
      <c r="X138">
        <v>0</v>
      </c>
      <c r="Y138" s="2">
        <v>65</v>
      </c>
      <c r="Z138" s="2">
        <v>65</v>
      </c>
      <c r="AA138">
        <v>0.1</v>
      </c>
      <c r="AB138" t="s">
        <v>374</v>
      </c>
      <c r="AC138" s="2">
        <v>1</v>
      </c>
      <c r="AD138">
        <v>0</v>
      </c>
      <c r="AE138">
        <v>0</v>
      </c>
      <c r="AF138">
        <v>0</v>
      </c>
      <c r="AG138">
        <v>-60</v>
      </c>
      <c r="AH138">
        <v>60</v>
      </c>
      <c r="AI138">
        <v>-1</v>
      </c>
      <c r="AJ138">
        <v>10</v>
      </c>
      <c r="AO138">
        <v>5</v>
      </c>
      <c r="AP138">
        <v>1</v>
      </c>
      <c r="AX138">
        <v>0.8</v>
      </c>
      <c r="BA138">
        <v>1</v>
      </c>
      <c r="BB138">
        <v>0.12</v>
      </c>
      <c r="BC138" s="2">
        <v>0.24</v>
      </c>
      <c r="BD138">
        <v>0.13</v>
      </c>
      <c r="BE138" s="2">
        <v>0.26</v>
      </c>
      <c r="BF138">
        <v>0.8</v>
      </c>
      <c r="BG138">
        <v>0.6</v>
      </c>
      <c r="BH138">
        <v>0.6</v>
      </c>
      <c r="BK138">
        <v>0.6</v>
      </c>
    </row>
    <row r="139" spans="1:63" hidden="1" x14ac:dyDescent="0.25">
      <c r="A139" t="s">
        <v>339</v>
      </c>
      <c r="B139" t="s">
        <v>483</v>
      </c>
      <c r="C139" t="s">
        <v>387</v>
      </c>
      <c r="D139" t="s">
        <v>388</v>
      </c>
      <c r="E139">
        <v>-9</v>
      </c>
      <c r="F139">
        <v>-9</v>
      </c>
      <c r="G139" t="s">
        <v>390</v>
      </c>
      <c r="H139" t="s">
        <v>393</v>
      </c>
      <c r="I139" t="s">
        <v>435</v>
      </c>
      <c r="J139" t="s">
        <v>392</v>
      </c>
      <c r="K139">
        <v>0</v>
      </c>
      <c r="L139">
        <v>550</v>
      </c>
      <c r="M139">
        <v>0</v>
      </c>
      <c r="N139">
        <v>5</v>
      </c>
      <c r="O139">
        <v>0</v>
      </c>
      <c r="P139">
        <v>0</v>
      </c>
      <c r="Q139">
        <v>1</v>
      </c>
      <c r="R139">
        <v>1</v>
      </c>
      <c r="S139">
        <v>1</v>
      </c>
      <c r="T139">
        <v>5</v>
      </c>
      <c r="U139">
        <v>5</v>
      </c>
      <c r="V139">
        <v>1</v>
      </c>
      <c r="W139">
        <v>1</v>
      </c>
      <c r="X139">
        <v>0</v>
      </c>
      <c r="Y139">
        <v>45</v>
      </c>
      <c r="Z139">
        <v>45</v>
      </c>
      <c r="AA139">
        <v>0.1</v>
      </c>
      <c r="AB139" t="s">
        <v>374</v>
      </c>
      <c r="AC139">
        <v>1</v>
      </c>
      <c r="AD139">
        <v>0</v>
      </c>
      <c r="AE139">
        <v>0</v>
      </c>
      <c r="AF139">
        <v>0</v>
      </c>
      <c r="AG139">
        <v>-60</v>
      </c>
      <c r="AH139">
        <v>60</v>
      </c>
      <c r="AI139">
        <v>-1</v>
      </c>
      <c r="AJ139">
        <v>10</v>
      </c>
      <c r="AO139">
        <v>5</v>
      </c>
      <c r="AP139">
        <v>1</v>
      </c>
      <c r="AX139">
        <v>0.8</v>
      </c>
      <c r="BA139">
        <v>1</v>
      </c>
    </row>
    <row r="140" spans="1:63" x14ac:dyDescent="0.25">
      <c r="A140" t="s">
        <v>339</v>
      </c>
      <c r="B140" t="s">
        <v>167</v>
      </c>
      <c r="C140" t="s">
        <v>387</v>
      </c>
      <c r="D140" t="s">
        <v>388</v>
      </c>
      <c r="E140" s="2" t="s">
        <v>476</v>
      </c>
      <c r="F140" s="2" t="s">
        <v>476</v>
      </c>
      <c r="G140" t="s">
        <v>390</v>
      </c>
      <c r="H140" t="s">
        <v>393</v>
      </c>
      <c r="I140" t="s">
        <v>435</v>
      </c>
      <c r="J140" t="s">
        <v>392</v>
      </c>
      <c r="K140">
        <v>0</v>
      </c>
      <c r="L140" s="2">
        <v>890</v>
      </c>
      <c r="M140">
        <v>0</v>
      </c>
      <c r="N140">
        <v>5</v>
      </c>
      <c r="O140">
        <v>0</v>
      </c>
      <c r="P140">
        <v>0</v>
      </c>
      <c r="Q140">
        <v>1</v>
      </c>
      <c r="R140">
        <v>1</v>
      </c>
      <c r="S140">
        <v>1</v>
      </c>
      <c r="T140">
        <v>5</v>
      </c>
      <c r="U140">
        <v>5</v>
      </c>
      <c r="V140">
        <v>1</v>
      </c>
      <c r="W140">
        <v>1</v>
      </c>
      <c r="X140">
        <v>0</v>
      </c>
      <c r="Y140">
        <v>45</v>
      </c>
      <c r="Z140">
        <v>45</v>
      </c>
      <c r="AA140">
        <v>0.1</v>
      </c>
      <c r="AB140" t="s">
        <v>374</v>
      </c>
      <c r="AC140">
        <v>1</v>
      </c>
      <c r="AD140">
        <v>0</v>
      </c>
      <c r="AE140">
        <v>0</v>
      </c>
      <c r="AF140">
        <v>0</v>
      </c>
      <c r="AG140" s="2">
        <v>-45</v>
      </c>
      <c r="AH140" s="2">
        <v>45</v>
      </c>
      <c r="AI140">
        <v>-1</v>
      </c>
      <c r="AJ140">
        <v>10</v>
      </c>
      <c r="AO140">
        <v>5</v>
      </c>
      <c r="AP140">
        <v>1</v>
      </c>
      <c r="AX140">
        <v>0.8</v>
      </c>
      <c r="BA140">
        <v>1</v>
      </c>
    </row>
    <row r="141" spans="1:63" hidden="1" x14ac:dyDescent="0.25">
      <c r="A141" t="s">
        <v>340</v>
      </c>
      <c r="B141" t="s">
        <v>483</v>
      </c>
      <c r="C141" t="s">
        <v>387</v>
      </c>
      <c r="D141" t="s">
        <v>388</v>
      </c>
      <c r="E141" t="s">
        <v>510</v>
      </c>
      <c r="F141" t="s">
        <v>510</v>
      </c>
      <c r="G141" t="s">
        <v>390</v>
      </c>
      <c r="H141" t="s">
        <v>384</v>
      </c>
      <c r="I141" t="s">
        <v>414</v>
      </c>
      <c r="J141" t="s">
        <v>392</v>
      </c>
      <c r="K141">
        <v>2000</v>
      </c>
      <c r="L141">
        <v>3450</v>
      </c>
      <c r="M141">
        <v>0</v>
      </c>
      <c r="N141">
        <v>0</v>
      </c>
      <c r="O141">
        <v>0</v>
      </c>
      <c r="P141">
        <v>0</v>
      </c>
      <c r="Q141">
        <v>1</v>
      </c>
      <c r="R141">
        <v>1</v>
      </c>
      <c r="S141">
        <v>1</v>
      </c>
      <c r="T141" t="s">
        <v>487</v>
      </c>
      <c r="U141">
        <v>0</v>
      </c>
      <c r="V141">
        <v>0</v>
      </c>
      <c r="W141">
        <v>1</v>
      </c>
      <c r="X141">
        <v>0</v>
      </c>
      <c r="Y141">
        <v>45</v>
      </c>
      <c r="Z141">
        <v>45</v>
      </c>
      <c r="AA141">
        <v>0.1</v>
      </c>
      <c r="AB141" t="s">
        <v>374</v>
      </c>
      <c r="AC141">
        <v>1</v>
      </c>
      <c r="AD141">
        <v>0</v>
      </c>
      <c r="AE141">
        <v>0</v>
      </c>
      <c r="AF141">
        <v>0</v>
      </c>
      <c r="AG141">
        <v>-150</v>
      </c>
      <c r="AH141">
        <v>150</v>
      </c>
      <c r="AI141">
        <v>-5</v>
      </c>
      <c r="AJ141">
        <v>45</v>
      </c>
      <c r="AO141">
        <v>5</v>
      </c>
      <c r="AP141">
        <v>1</v>
      </c>
      <c r="BA141">
        <v>1</v>
      </c>
      <c r="BB141">
        <v>0.25</v>
      </c>
      <c r="BD141">
        <v>0.18</v>
      </c>
      <c r="BF141">
        <v>0.8</v>
      </c>
      <c r="BG141">
        <v>0.6</v>
      </c>
      <c r="BH141">
        <v>0.6</v>
      </c>
      <c r="BK141">
        <v>0.6</v>
      </c>
    </row>
    <row r="142" spans="1:63" x14ac:dyDescent="0.25">
      <c r="A142" t="s">
        <v>340</v>
      </c>
      <c r="B142" t="s">
        <v>167</v>
      </c>
      <c r="C142" t="s">
        <v>387</v>
      </c>
      <c r="D142" t="s">
        <v>388</v>
      </c>
      <c r="E142" s="2">
        <v>80</v>
      </c>
      <c r="F142" s="2">
        <v>85</v>
      </c>
      <c r="G142" t="s">
        <v>390</v>
      </c>
      <c r="H142" t="s">
        <v>384</v>
      </c>
      <c r="I142" t="s">
        <v>414</v>
      </c>
      <c r="J142" t="s">
        <v>392</v>
      </c>
      <c r="K142" s="2">
        <v>2500</v>
      </c>
      <c r="L142">
        <v>3450</v>
      </c>
      <c r="M142">
        <v>0</v>
      </c>
      <c r="N142">
        <v>0</v>
      </c>
      <c r="O142">
        <v>0</v>
      </c>
      <c r="P142">
        <v>0</v>
      </c>
      <c r="Q142">
        <v>1</v>
      </c>
      <c r="R142">
        <v>1</v>
      </c>
      <c r="S142">
        <v>1</v>
      </c>
      <c r="T142" s="2">
        <v>2.4</v>
      </c>
      <c r="U142">
        <v>0</v>
      </c>
      <c r="V142">
        <v>0</v>
      </c>
      <c r="W142">
        <v>1</v>
      </c>
      <c r="X142">
        <v>0</v>
      </c>
      <c r="Y142" s="2">
        <v>120</v>
      </c>
      <c r="Z142" s="2">
        <v>120</v>
      </c>
      <c r="AA142">
        <v>0.1</v>
      </c>
      <c r="AB142" t="s">
        <v>374</v>
      </c>
      <c r="AC142">
        <v>1</v>
      </c>
      <c r="AD142">
        <v>0</v>
      </c>
      <c r="AE142">
        <v>0</v>
      </c>
      <c r="AF142">
        <v>0</v>
      </c>
      <c r="AG142">
        <v>-150</v>
      </c>
      <c r="AH142">
        <v>150</v>
      </c>
      <c r="AI142">
        <v>-5</v>
      </c>
      <c r="AJ142">
        <v>45</v>
      </c>
      <c r="AO142">
        <v>5</v>
      </c>
      <c r="AP142">
        <v>1</v>
      </c>
      <c r="BA142">
        <v>1</v>
      </c>
      <c r="BB142">
        <v>0.25</v>
      </c>
      <c r="BC142" s="2">
        <v>0.5</v>
      </c>
      <c r="BD142">
        <v>0.18</v>
      </c>
      <c r="BE142" s="2">
        <v>0.36</v>
      </c>
      <c r="BF142">
        <v>0.8</v>
      </c>
      <c r="BG142">
        <v>0.6</v>
      </c>
      <c r="BH142">
        <v>0.6</v>
      </c>
      <c r="BK142">
        <v>0.6</v>
      </c>
    </row>
    <row r="143" spans="1:63" hidden="1" x14ac:dyDescent="0.25">
      <c r="A143" t="s">
        <v>341</v>
      </c>
      <c r="B143" t="s">
        <v>483</v>
      </c>
      <c r="C143" t="s">
        <v>387</v>
      </c>
      <c r="D143" t="s">
        <v>388</v>
      </c>
      <c r="E143">
        <v>-9</v>
      </c>
      <c r="F143">
        <v>-9</v>
      </c>
      <c r="G143" t="s">
        <v>390</v>
      </c>
      <c r="H143" t="s">
        <v>393</v>
      </c>
      <c r="I143" t="s">
        <v>435</v>
      </c>
      <c r="J143" t="s">
        <v>392</v>
      </c>
      <c r="K143">
        <v>0</v>
      </c>
      <c r="L143">
        <v>550</v>
      </c>
      <c r="M143">
        <v>0</v>
      </c>
      <c r="N143">
        <v>5</v>
      </c>
      <c r="O143">
        <v>0</v>
      </c>
      <c r="P143">
        <v>0</v>
      </c>
      <c r="Q143">
        <v>1</v>
      </c>
      <c r="R143">
        <v>1</v>
      </c>
      <c r="S143">
        <v>1</v>
      </c>
      <c r="T143">
        <v>5</v>
      </c>
      <c r="U143">
        <v>5</v>
      </c>
      <c r="V143">
        <v>1</v>
      </c>
      <c r="W143">
        <v>1</v>
      </c>
      <c r="X143">
        <v>0</v>
      </c>
      <c r="Y143">
        <v>45</v>
      </c>
      <c r="Z143">
        <v>45</v>
      </c>
      <c r="AA143">
        <v>0.1</v>
      </c>
      <c r="AB143" t="s">
        <v>374</v>
      </c>
      <c r="AC143">
        <v>1</v>
      </c>
      <c r="AD143">
        <v>0</v>
      </c>
      <c r="AE143">
        <v>0</v>
      </c>
      <c r="AF143">
        <v>0</v>
      </c>
      <c r="AG143">
        <v>-150</v>
      </c>
      <c r="AH143">
        <v>150</v>
      </c>
      <c r="AI143">
        <v>-5</v>
      </c>
      <c r="AJ143">
        <v>45</v>
      </c>
      <c r="AO143">
        <v>5</v>
      </c>
      <c r="AP143">
        <v>1</v>
      </c>
      <c r="BA143">
        <v>1</v>
      </c>
    </row>
    <row r="144" spans="1:63" x14ac:dyDescent="0.25">
      <c r="A144" t="s">
        <v>341</v>
      </c>
      <c r="B144" t="s">
        <v>167</v>
      </c>
      <c r="C144" t="s">
        <v>387</v>
      </c>
      <c r="D144" t="s">
        <v>388</v>
      </c>
      <c r="E144" s="2" t="s">
        <v>477</v>
      </c>
      <c r="F144" s="2" t="s">
        <v>477</v>
      </c>
      <c r="G144" t="s">
        <v>390</v>
      </c>
      <c r="H144" t="s">
        <v>393</v>
      </c>
      <c r="I144" t="s">
        <v>435</v>
      </c>
      <c r="J144" t="s">
        <v>392</v>
      </c>
      <c r="K144">
        <v>0</v>
      </c>
      <c r="L144" s="2">
        <v>850</v>
      </c>
      <c r="M144">
        <v>0</v>
      </c>
      <c r="N144">
        <v>5</v>
      </c>
      <c r="O144">
        <v>0</v>
      </c>
      <c r="P144">
        <v>0</v>
      </c>
      <c r="Q144">
        <v>1</v>
      </c>
      <c r="R144">
        <v>1</v>
      </c>
      <c r="S144">
        <v>1</v>
      </c>
      <c r="T144">
        <v>5</v>
      </c>
      <c r="U144">
        <v>5</v>
      </c>
      <c r="V144">
        <v>1</v>
      </c>
      <c r="W144">
        <v>1</v>
      </c>
      <c r="X144">
        <v>0</v>
      </c>
      <c r="Y144">
        <v>45</v>
      </c>
      <c r="Z144">
        <v>45</v>
      </c>
      <c r="AA144">
        <v>0.1</v>
      </c>
      <c r="AB144" t="s">
        <v>374</v>
      </c>
      <c r="AC144">
        <v>1</v>
      </c>
      <c r="AD144">
        <v>0</v>
      </c>
      <c r="AE144">
        <v>0</v>
      </c>
      <c r="AF144">
        <v>0</v>
      </c>
      <c r="AG144" s="2">
        <v>-25</v>
      </c>
      <c r="AH144" s="2">
        <v>25</v>
      </c>
      <c r="AI144">
        <v>-5</v>
      </c>
      <c r="AJ144" s="2">
        <v>25</v>
      </c>
      <c r="AO144">
        <v>5</v>
      </c>
      <c r="AP144">
        <v>1</v>
      </c>
      <c r="BA144">
        <v>1</v>
      </c>
    </row>
    <row r="145" spans="1:64" hidden="1" x14ac:dyDescent="0.25">
      <c r="A145" t="s">
        <v>342</v>
      </c>
      <c r="B145" t="s">
        <v>483</v>
      </c>
      <c r="C145" t="s">
        <v>387</v>
      </c>
      <c r="D145" t="s">
        <v>388</v>
      </c>
      <c r="E145" t="s">
        <v>485</v>
      </c>
      <c r="F145" t="s">
        <v>486</v>
      </c>
      <c r="G145" t="s">
        <v>383</v>
      </c>
      <c r="H145" t="s">
        <v>384</v>
      </c>
      <c r="I145" t="s">
        <v>385</v>
      </c>
      <c r="J145" t="s">
        <v>392</v>
      </c>
      <c r="K145">
        <v>1500</v>
      </c>
      <c r="L145">
        <v>3000</v>
      </c>
      <c r="M145">
        <v>0</v>
      </c>
      <c r="N145">
        <v>0</v>
      </c>
      <c r="O145">
        <v>0</v>
      </c>
      <c r="P145">
        <v>0</v>
      </c>
      <c r="Q145">
        <v>1</v>
      </c>
      <c r="R145">
        <v>1</v>
      </c>
      <c r="S145">
        <v>1</v>
      </c>
      <c r="T145" t="s">
        <v>484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0.1</v>
      </c>
      <c r="AB145" t="s">
        <v>374</v>
      </c>
      <c r="AC145">
        <v>0</v>
      </c>
      <c r="AD145">
        <v>0</v>
      </c>
      <c r="AE145">
        <v>0</v>
      </c>
      <c r="AF145">
        <v>30</v>
      </c>
      <c r="AG145">
        <v>0</v>
      </c>
      <c r="AH145">
        <v>0</v>
      </c>
      <c r="AI145">
        <v>0</v>
      </c>
      <c r="AJ145">
        <v>0</v>
      </c>
      <c r="AO145">
        <v>5</v>
      </c>
      <c r="AP145">
        <v>1</v>
      </c>
      <c r="AW145">
        <v>0.45</v>
      </c>
      <c r="AX145">
        <v>0.2</v>
      </c>
      <c r="AY145">
        <v>2.1</v>
      </c>
      <c r="BA145">
        <v>1</v>
      </c>
      <c r="BB145">
        <v>0.04</v>
      </c>
      <c r="BD145">
        <v>7.0000000000000007E-2</v>
      </c>
      <c r="BF145">
        <v>0.6</v>
      </c>
      <c r="BG145">
        <v>0.6</v>
      </c>
      <c r="BH145">
        <v>0.6</v>
      </c>
      <c r="BK145">
        <v>0.6</v>
      </c>
    </row>
    <row r="146" spans="1:64" x14ac:dyDescent="0.25">
      <c r="A146" t="s">
        <v>342</v>
      </c>
      <c r="B146" t="s">
        <v>167</v>
      </c>
      <c r="C146" t="s">
        <v>387</v>
      </c>
      <c r="D146" t="s">
        <v>388</v>
      </c>
      <c r="E146" s="2">
        <v>200</v>
      </c>
      <c r="F146" s="2">
        <v>275</v>
      </c>
      <c r="G146" t="s">
        <v>383</v>
      </c>
      <c r="H146" t="s">
        <v>384</v>
      </c>
      <c r="I146" s="2" t="s">
        <v>405</v>
      </c>
      <c r="J146" t="s">
        <v>392</v>
      </c>
      <c r="K146" s="2">
        <v>1750</v>
      </c>
      <c r="L146" s="2">
        <v>3200</v>
      </c>
      <c r="M146">
        <v>0</v>
      </c>
      <c r="N146">
        <v>0</v>
      </c>
      <c r="O146">
        <v>0</v>
      </c>
      <c r="P146">
        <v>0</v>
      </c>
      <c r="Q146">
        <v>1</v>
      </c>
      <c r="R146">
        <v>1</v>
      </c>
      <c r="S146">
        <v>1</v>
      </c>
      <c r="T146" s="2">
        <v>6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0.1</v>
      </c>
      <c r="AB146" t="s">
        <v>374</v>
      </c>
      <c r="AC146">
        <v>0</v>
      </c>
      <c r="AD146">
        <v>0</v>
      </c>
      <c r="AE146">
        <v>0</v>
      </c>
      <c r="AF146">
        <v>30</v>
      </c>
      <c r="AG146">
        <v>0</v>
      </c>
      <c r="AH146">
        <v>0</v>
      </c>
      <c r="AI146">
        <v>0</v>
      </c>
      <c r="AJ146">
        <v>0</v>
      </c>
      <c r="AO146">
        <v>5</v>
      </c>
      <c r="AP146">
        <v>1</v>
      </c>
      <c r="AQ146" s="2">
        <v>0.11</v>
      </c>
      <c r="AR146" s="2">
        <v>0.11</v>
      </c>
      <c r="AS146" s="2">
        <v>1</v>
      </c>
      <c r="AT146" s="2">
        <v>1.4</v>
      </c>
      <c r="AU146" s="2">
        <v>0.89</v>
      </c>
      <c r="AV146" s="2">
        <v>1.1000000000000001</v>
      </c>
      <c r="AW146" s="2">
        <v>0.85</v>
      </c>
      <c r="AX146">
        <v>0.2</v>
      </c>
      <c r="AY146" s="2">
        <v>1</v>
      </c>
      <c r="AZ146" s="2">
        <v>0.11</v>
      </c>
      <c r="BA146">
        <v>1</v>
      </c>
      <c r="BB146" s="2">
        <v>0.06</v>
      </c>
      <c r="BC146" s="2">
        <v>0.11</v>
      </c>
      <c r="BD146" s="2">
        <v>0.56000000000000005</v>
      </c>
      <c r="BE146" s="2">
        <v>0.66</v>
      </c>
      <c r="BF146" s="2">
        <v>0.9</v>
      </c>
      <c r="BG146" s="2">
        <v>0.93</v>
      </c>
      <c r="BH146" s="2">
        <v>0.93</v>
      </c>
      <c r="BK146">
        <v>0.6</v>
      </c>
      <c r="BL146" s="2">
        <v>1</v>
      </c>
    </row>
    <row r="147" spans="1:64" hidden="1" x14ac:dyDescent="0.25">
      <c r="A147" t="s">
        <v>343</v>
      </c>
      <c r="B147" t="s">
        <v>483</v>
      </c>
      <c r="C147" t="s">
        <v>387</v>
      </c>
      <c r="D147" t="s">
        <v>388</v>
      </c>
      <c r="E147" t="s">
        <v>488</v>
      </c>
      <c r="F147" t="s">
        <v>488</v>
      </c>
      <c r="G147" t="s">
        <v>390</v>
      </c>
      <c r="H147" t="s">
        <v>384</v>
      </c>
      <c r="I147" t="s">
        <v>414</v>
      </c>
      <c r="J147" t="s">
        <v>392</v>
      </c>
      <c r="K147">
        <v>2000</v>
      </c>
      <c r="L147">
        <v>3000</v>
      </c>
      <c r="M147">
        <v>0</v>
      </c>
      <c r="N147">
        <v>0</v>
      </c>
      <c r="O147">
        <v>0</v>
      </c>
      <c r="P147">
        <v>0</v>
      </c>
      <c r="Q147">
        <v>1</v>
      </c>
      <c r="R147">
        <v>1</v>
      </c>
      <c r="S147">
        <v>1</v>
      </c>
      <c r="T147" t="s">
        <v>487</v>
      </c>
      <c r="U147">
        <v>0</v>
      </c>
      <c r="V147">
        <v>0</v>
      </c>
      <c r="W147">
        <v>1</v>
      </c>
      <c r="X147">
        <v>0</v>
      </c>
      <c r="Y147">
        <v>55</v>
      </c>
      <c r="Z147">
        <v>55</v>
      </c>
      <c r="AA147">
        <v>0.1</v>
      </c>
      <c r="AB147" t="s">
        <v>374</v>
      </c>
      <c r="AC147">
        <v>1</v>
      </c>
      <c r="AD147">
        <v>0</v>
      </c>
      <c r="AE147">
        <v>0</v>
      </c>
      <c r="AF147">
        <v>0</v>
      </c>
      <c r="AG147">
        <v>-15</v>
      </c>
      <c r="AH147">
        <v>160</v>
      </c>
      <c r="AI147">
        <v>-10</v>
      </c>
      <c r="AJ147">
        <v>60</v>
      </c>
      <c r="AO147">
        <v>5</v>
      </c>
      <c r="AP147">
        <v>1</v>
      </c>
      <c r="AQ147">
        <v>0.71</v>
      </c>
      <c r="AS147">
        <v>0.89</v>
      </c>
      <c r="BA147">
        <v>1</v>
      </c>
      <c r="BB147">
        <v>0.13700000000000001</v>
      </c>
      <c r="BD147">
        <v>0.13500000000000001</v>
      </c>
      <c r="BF147">
        <v>0.8</v>
      </c>
      <c r="BG147">
        <v>0.6</v>
      </c>
      <c r="BH147">
        <v>0.6</v>
      </c>
      <c r="BK147">
        <v>0.6</v>
      </c>
    </row>
    <row r="148" spans="1:64" x14ac:dyDescent="0.25">
      <c r="A148" t="s">
        <v>343</v>
      </c>
      <c r="B148" t="s">
        <v>167</v>
      </c>
      <c r="C148" t="s">
        <v>387</v>
      </c>
      <c r="D148" t="s">
        <v>388</v>
      </c>
      <c r="E148" s="2">
        <v>70</v>
      </c>
      <c r="F148" s="2">
        <v>74</v>
      </c>
      <c r="G148" t="s">
        <v>390</v>
      </c>
      <c r="H148" t="s">
        <v>384</v>
      </c>
      <c r="I148" s="2" t="s">
        <v>429</v>
      </c>
      <c r="J148" t="s">
        <v>392</v>
      </c>
      <c r="K148" s="2">
        <v>2600</v>
      </c>
      <c r="L148" s="2">
        <v>3200</v>
      </c>
      <c r="M148">
        <v>0</v>
      </c>
      <c r="N148">
        <v>0</v>
      </c>
      <c r="O148">
        <v>0</v>
      </c>
      <c r="P148">
        <v>0</v>
      </c>
      <c r="Q148">
        <v>1</v>
      </c>
      <c r="R148">
        <v>1</v>
      </c>
      <c r="S148">
        <v>1</v>
      </c>
      <c r="T148" s="2">
        <v>2</v>
      </c>
      <c r="U148">
        <v>0</v>
      </c>
      <c r="V148">
        <v>0</v>
      </c>
      <c r="W148">
        <v>1</v>
      </c>
      <c r="X148">
        <v>0</v>
      </c>
      <c r="Y148" s="2">
        <v>75</v>
      </c>
      <c r="Z148" s="2">
        <v>75</v>
      </c>
      <c r="AA148">
        <v>0.1</v>
      </c>
      <c r="AB148" t="s">
        <v>374</v>
      </c>
      <c r="AC148">
        <v>1</v>
      </c>
      <c r="AD148">
        <v>0</v>
      </c>
      <c r="AE148">
        <v>0</v>
      </c>
      <c r="AF148">
        <v>0</v>
      </c>
      <c r="AG148">
        <v>-15</v>
      </c>
      <c r="AH148">
        <v>160</v>
      </c>
      <c r="AI148">
        <v>-10</v>
      </c>
      <c r="AJ148">
        <v>60</v>
      </c>
      <c r="AO148">
        <v>5</v>
      </c>
      <c r="AP148">
        <v>1</v>
      </c>
      <c r="AQ148" s="2">
        <v>0.1</v>
      </c>
      <c r="AR148" s="2">
        <v>0.2</v>
      </c>
      <c r="AS148" s="2">
        <v>0.32</v>
      </c>
      <c r="AT148" s="2">
        <v>0.56000000000000005</v>
      </c>
      <c r="AU148" s="2">
        <v>1.1000000000000001</v>
      </c>
      <c r="AV148" s="2">
        <v>0.9</v>
      </c>
      <c r="AW148" s="2">
        <v>0.85</v>
      </c>
      <c r="AX148" s="2">
        <v>0.8</v>
      </c>
      <c r="AY148" s="2">
        <v>0.2</v>
      </c>
      <c r="AZ148" s="2">
        <v>0.184</v>
      </c>
      <c r="BA148">
        <v>1</v>
      </c>
      <c r="BB148" s="2">
        <v>0.04</v>
      </c>
      <c r="BC148" s="2">
        <v>0.08</v>
      </c>
      <c r="BD148" s="2">
        <v>0.4</v>
      </c>
      <c r="BE148" s="2">
        <v>0.64</v>
      </c>
      <c r="BF148" s="2">
        <v>0.9</v>
      </c>
      <c r="BG148" s="2">
        <v>0.89</v>
      </c>
      <c r="BH148" s="2">
        <v>0.89</v>
      </c>
      <c r="BJ148" s="2">
        <v>0.89</v>
      </c>
      <c r="BK148">
        <v>0.6</v>
      </c>
      <c r="BL148" s="2">
        <v>1</v>
      </c>
    </row>
    <row r="149" spans="1:64" hidden="1" x14ac:dyDescent="0.25">
      <c r="A149" t="s">
        <v>344</v>
      </c>
      <c r="B149" t="s">
        <v>483</v>
      </c>
      <c r="C149" t="s">
        <v>387</v>
      </c>
      <c r="D149" t="s">
        <v>388</v>
      </c>
      <c r="E149" t="s">
        <v>488</v>
      </c>
      <c r="F149" t="s">
        <v>488</v>
      </c>
      <c r="G149" t="s">
        <v>390</v>
      </c>
      <c r="H149" t="s">
        <v>384</v>
      </c>
      <c r="I149" t="s">
        <v>414</v>
      </c>
      <c r="J149" t="s">
        <v>392</v>
      </c>
      <c r="K149">
        <v>2000</v>
      </c>
      <c r="L149">
        <v>3000</v>
      </c>
      <c r="M149">
        <v>0</v>
      </c>
      <c r="N149">
        <v>0</v>
      </c>
      <c r="O149">
        <v>0</v>
      </c>
      <c r="P149">
        <v>0</v>
      </c>
      <c r="Q149">
        <v>1</v>
      </c>
      <c r="R149">
        <v>1</v>
      </c>
      <c r="S149">
        <v>1</v>
      </c>
      <c r="T149" t="s">
        <v>487</v>
      </c>
      <c r="U149">
        <v>0</v>
      </c>
      <c r="V149">
        <v>0</v>
      </c>
      <c r="W149">
        <v>1</v>
      </c>
      <c r="X149">
        <v>0</v>
      </c>
      <c r="Y149">
        <v>55</v>
      </c>
      <c r="Z149">
        <v>55</v>
      </c>
      <c r="AA149">
        <v>0.1</v>
      </c>
      <c r="AB149" t="s">
        <v>374</v>
      </c>
      <c r="AC149">
        <v>1</v>
      </c>
      <c r="AD149">
        <v>0</v>
      </c>
      <c r="AE149">
        <v>0</v>
      </c>
      <c r="AF149">
        <v>0</v>
      </c>
      <c r="AG149">
        <v>-160</v>
      </c>
      <c r="AH149">
        <v>15</v>
      </c>
      <c r="AI149">
        <v>-10</v>
      </c>
      <c r="AJ149">
        <v>60</v>
      </c>
      <c r="AO149">
        <v>5</v>
      </c>
      <c r="AP149">
        <v>1</v>
      </c>
      <c r="AQ149">
        <v>0.71</v>
      </c>
      <c r="AS149">
        <v>0.89</v>
      </c>
      <c r="BA149">
        <v>1</v>
      </c>
      <c r="BB149">
        <v>0.13700000000000001</v>
      </c>
      <c r="BD149">
        <v>0.13500000000000001</v>
      </c>
      <c r="BF149">
        <v>0.8</v>
      </c>
      <c r="BG149">
        <v>0.6</v>
      </c>
      <c r="BH149">
        <v>0.6</v>
      </c>
      <c r="BK149">
        <v>0.6</v>
      </c>
    </row>
    <row r="150" spans="1:64" x14ac:dyDescent="0.25">
      <c r="A150" t="s">
        <v>344</v>
      </c>
      <c r="B150" t="s">
        <v>167</v>
      </c>
      <c r="C150" t="s">
        <v>387</v>
      </c>
      <c r="D150" t="s">
        <v>388</v>
      </c>
      <c r="E150" s="2">
        <v>70</v>
      </c>
      <c r="F150" s="2">
        <v>74</v>
      </c>
      <c r="G150" t="s">
        <v>390</v>
      </c>
      <c r="H150" t="s">
        <v>384</v>
      </c>
      <c r="I150" s="2" t="s">
        <v>429</v>
      </c>
      <c r="J150" t="s">
        <v>392</v>
      </c>
      <c r="K150" s="2">
        <v>2600</v>
      </c>
      <c r="L150" s="2">
        <v>3200</v>
      </c>
      <c r="M150">
        <v>0</v>
      </c>
      <c r="N150">
        <v>0</v>
      </c>
      <c r="O150">
        <v>0</v>
      </c>
      <c r="P150">
        <v>0</v>
      </c>
      <c r="Q150">
        <v>1</v>
      </c>
      <c r="R150">
        <v>1</v>
      </c>
      <c r="S150">
        <v>1</v>
      </c>
      <c r="T150" s="2">
        <v>2</v>
      </c>
      <c r="U150">
        <v>0</v>
      </c>
      <c r="V150">
        <v>0</v>
      </c>
      <c r="W150">
        <v>1</v>
      </c>
      <c r="X150">
        <v>0</v>
      </c>
      <c r="Y150" s="2">
        <v>75</v>
      </c>
      <c r="Z150" s="2">
        <v>75</v>
      </c>
      <c r="AA150">
        <v>0.1</v>
      </c>
      <c r="AB150" t="s">
        <v>374</v>
      </c>
      <c r="AC150">
        <v>1</v>
      </c>
      <c r="AD150">
        <v>0</v>
      </c>
      <c r="AE150">
        <v>0</v>
      </c>
      <c r="AF150">
        <v>0</v>
      </c>
      <c r="AG150">
        <v>-160</v>
      </c>
      <c r="AH150">
        <v>15</v>
      </c>
      <c r="AI150">
        <v>-10</v>
      </c>
      <c r="AJ150">
        <v>60</v>
      </c>
      <c r="AO150">
        <v>5</v>
      </c>
      <c r="AP150">
        <v>1</v>
      </c>
      <c r="AQ150" s="2">
        <v>0.1</v>
      </c>
      <c r="AR150" s="2">
        <v>0.2</v>
      </c>
      <c r="AS150" s="2">
        <v>0.32</v>
      </c>
      <c r="AT150" s="2">
        <v>0.56000000000000005</v>
      </c>
      <c r="AU150" s="2">
        <v>1.1000000000000001</v>
      </c>
      <c r="AV150" s="2">
        <v>0.9</v>
      </c>
      <c r="AW150" s="2">
        <v>0.85</v>
      </c>
      <c r="AX150" s="2">
        <v>0.8</v>
      </c>
      <c r="AY150" s="2">
        <v>0.2</v>
      </c>
      <c r="AZ150" s="2">
        <v>0.184</v>
      </c>
      <c r="BA150">
        <v>1</v>
      </c>
      <c r="BB150" s="2">
        <v>0.04</v>
      </c>
      <c r="BC150" s="2">
        <v>0.08</v>
      </c>
      <c r="BD150" s="2">
        <v>0.4</v>
      </c>
      <c r="BE150" s="2">
        <v>0.64</v>
      </c>
      <c r="BF150" s="2">
        <v>0.9</v>
      </c>
      <c r="BG150" s="2">
        <v>0.89</v>
      </c>
      <c r="BH150" s="2">
        <v>0.89</v>
      </c>
      <c r="BJ150" s="2">
        <v>0.89</v>
      </c>
      <c r="BK150">
        <v>0.6</v>
      </c>
      <c r="BL150" s="2">
        <v>1</v>
      </c>
    </row>
    <row r="151" spans="1:64" hidden="1" x14ac:dyDescent="0.25">
      <c r="A151" t="s">
        <v>345</v>
      </c>
      <c r="B151" t="s">
        <v>483</v>
      </c>
      <c r="C151" t="s">
        <v>387</v>
      </c>
      <c r="D151" t="s">
        <v>388</v>
      </c>
      <c r="E151" t="s">
        <v>492</v>
      </c>
      <c r="F151" t="s">
        <v>492</v>
      </c>
      <c r="G151" t="s">
        <v>390</v>
      </c>
      <c r="H151" t="s">
        <v>384</v>
      </c>
      <c r="I151" t="s">
        <v>391</v>
      </c>
      <c r="J151" t="s">
        <v>392</v>
      </c>
      <c r="K151">
        <v>5000</v>
      </c>
      <c r="L151">
        <v>5500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1</v>
      </c>
      <c r="S151">
        <v>1</v>
      </c>
      <c r="T151" t="s">
        <v>491</v>
      </c>
      <c r="U151">
        <v>0</v>
      </c>
      <c r="V151">
        <v>0</v>
      </c>
      <c r="W151">
        <v>1</v>
      </c>
      <c r="X151">
        <v>1</v>
      </c>
      <c r="Y151">
        <v>33</v>
      </c>
      <c r="Z151">
        <v>20</v>
      </c>
      <c r="AA151">
        <v>0.1</v>
      </c>
      <c r="AB151" t="s">
        <v>374</v>
      </c>
      <c r="AC151">
        <v>1</v>
      </c>
      <c r="AD151">
        <v>0</v>
      </c>
      <c r="AE151">
        <v>0</v>
      </c>
      <c r="AF151">
        <v>0</v>
      </c>
      <c r="AG151">
        <v>-160</v>
      </c>
      <c r="AH151">
        <v>15</v>
      </c>
      <c r="AI151">
        <v>-11</v>
      </c>
      <c r="AJ151">
        <v>45</v>
      </c>
      <c r="AO151">
        <v>30</v>
      </c>
      <c r="AP151">
        <v>1</v>
      </c>
      <c r="AX151">
        <v>0.6</v>
      </c>
      <c r="AY151">
        <v>0.3</v>
      </c>
      <c r="BA151">
        <v>1</v>
      </c>
      <c r="BB151">
        <v>0.1</v>
      </c>
      <c r="BD151">
        <v>0.06</v>
      </c>
    </row>
    <row r="152" spans="1:64" x14ac:dyDescent="0.25">
      <c r="A152" t="s">
        <v>345</v>
      </c>
      <c r="B152" t="s">
        <v>167</v>
      </c>
      <c r="C152" t="s">
        <v>387</v>
      </c>
      <c r="D152" t="s">
        <v>388</v>
      </c>
      <c r="E152" s="2">
        <v>1500</v>
      </c>
      <c r="F152" s="2">
        <v>1500</v>
      </c>
      <c r="G152" t="s">
        <v>390</v>
      </c>
      <c r="H152" t="s">
        <v>384</v>
      </c>
      <c r="I152" t="s">
        <v>391</v>
      </c>
      <c r="J152" t="s">
        <v>392</v>
      </c>
      <c r="K152">
        <v>5000</v>
      </c>
      <c r="L152">
        <v>5500</v>
      </c>
      <c r="M152">
        <v>0</v>
      </c>
      <c r="N152">
        <v>0</v>
      </c>
      <c r="O152">
        <v>0</v>
      </c>
      <c r="P152">
        <v>0</v>
      </c>
      <c r="Q152">
        <v>1</v>
      </c>
      <c r="R152">
        <v>1</v>
      </c>
      <c r="S152">
        <v>1</v>
      </c>
      <c r="T152" s="2">
        <v>5.5</v>
      </c>
      <c r="U152">
        <v>0</v>
      </c>
      <c r="V152">
        <v>0</v>
      </c>
      <c r="W152">
        <v>1</v>
      </c>
      <c r="X152">
        <v>1</v>
      </c>
      <c r="Y152">
        <v>33</v>
      </c>
      <c r="Z152">
        <v>20</v>
      </c>
      <c r="AA152">
        <v>0.1</v>
      </c>
      <c r="AB152" t="s">
        <v>374</v>
      </c>
      <c r="AC152">
        <v>1</v>
      </c>
      <c r="AD152">
        <v>0</v>
      </c>
      <c r="AE152">
        <v>0</v>
      </c>
      <c r="AF152">
        <v>0</v>
      </c>
      <c r="AG152">
        <v>-160</v>
      </c>
      <c r="AH152">
        <v>15</v>
      </c>
      <c r="AI152">
        <v>-11</v>
      </c>
      <c r="AJ152">
        <v>45</v>
      </c>
      <c r="AO152">
        <v>30</v>
      </c>
      <c r="AP152">
        <v>1</v>
      </c>
      <c r="AX152">
        <v>0.6</v>
      </c>
      <c r="AY152">
        <v>0.3</v>
      </c>
      <c r="BA152">
        <v>1</v>
      </c>
      <c r="BB152" s="2">
        <v>0.05</v>
      </c>
      <c r="BC152" s="2">
        <v>0.05</v>
      </c>
      <c r="BD152">
        <v>0.06</v>
      </c>
      <c r="BE152" s="2">
        <v>0.06</v>
      </c>
    </row>
    <row r="153" spans="1:64" hidden="1" x14ac:dyDescent="0.25">
      <c r="A153" t="s">
        <v>346</v>
      </c>
      <c r="B153" t="s">
        <v>483</v>
      </c>
      <c r="C153" t="s">
        <v>387</v>
      </c>
      <c r="D153" t="s">
        <v>388</v>
      </c>
      <c r="E153" t="s">
        <v>492</v>
      </c>
      <c r="F153" t="s">
        <v>492</v>
      </c>
      <c r="G153" t="s">
        <v>390</v>
      </c>
      <c r="H153" t="s">
        <v>384</v>
      </c>
      <c r="I153" t="s">
        <v>391</v>
      </c>
      <c r="J153" t="s">
        <v>392</v>
      </c>
      <c r="K153">
        <v>5000</v>
      </c>
      <c r="L153">
        <v>5500</v>
      </c>
      <c r="M153">
        <v>0</v>
      </c>
      <c r="N153">
        <v>0</v>
      </c>
      <c r="O153">
        <v>0</v>
      </c>
      <c r="P153">
        <v>0</v>
      </c>
      <c r="Q153">
        <v>1</v>
      </c>
      <c r="R153">
        <v>1</v>
      </c>
      <c r="S153">
        <v>1</v>
      </c>
      <c r="T153" t="s">
        <v>491</v>
      </c>
      <c r="U153">
        <v>0</v>
      </c>
      <c r="V153">
        <v>0</v>
      </c>
      <c r="W153">
        <v>1</v>
      </c>
      <c r="X153">
        <v>1</v>
      </c>
      <c r="Y153">
        <v>33</v>
      </c>
      <c r="Z153">
        <v>20</v>
      </c>
      <c r="AA153">
        <v>0.1</v>
      </c>
      <c r="AB153" t="s">
        <v>374</v>
      </c>
      <c r="AC153">
        <v>1</v>
      </c>
      <c r="AD153">
        <v>0</v>
      </c>
      <c r="AE153">
        <v>0</v>
      </c>
      <c r="AF153">
        <v>0</v>
      </c>
      <c r="AG153">
        <v>-15</v>
      </c>
      <c r="AH153">
        <v>160</v>
      </c>
      <c r="AI153">
        <v>-11</v>
      </c>
      <c r="AJ153">
        <v>45</v>
      </c>
      <c r="AO153">
        <v>30</v>
      </c>
      <c r="AP153">
        <v>1</v>
      </c>
      <c r="AX153">
        <v>0.6</v>
      </c>
      <c r="AY153">
        <v>0.3</v>
      </c>
      <c r="BA153">
        <v>1</v>
      </c>
      <c r="BB153">
        <v>0.1</v>
      </c>
      <c r="BD153">
        <v>0.06</v>
      </c>
    </row>
    <row r="154" spans="1:64" x14ac:dyDescent="0.25">
      <c r="A154" t="s">
        <v>346</v>
      </c>
      <c r="B154" t="s">
        <v>167</v>
      </c>
      <c r="C154" t="s">
        <v>387</v>
      </c>
      <c r="D154" t="s">
        <v>388</v>
      </c>
      <c r="E154" s="2">
        <v>1500</v>
      </c>
      <c r="F154" s="2">
        <v>1500</v>
      </c>
      <c r="G154" t="s">
        <v>390</v>
      </c>
      <c r="H154" t="s">
        <v>384</v>
      </c>
      <c r="I154" t="s">
        <v>391</v>
      </c>
      <c r="J154" t="s">
        <v>392</v>
      </c>
      <c r="K154">
        <v>5000</v>
      </c>
      <c r="L154">
        <v>5500</v>
      </c>
      <c r="M154">
        <v>0</v>
      </c>
      <c r="N154">
        <v>0</v>
      </c>
      <c r="O154">
        <v>0</v>
      </c>
      <c r="P154">
        <v>0</v>
      </c>
      <c r="Q154">
        <v>1</v>
      </c>
      <c r="R154">
        <v>1</v>
      </c>
      <c r="S154">
        <v>1</v>
      </c>
      <c r="T154" s="2">
        <v>5.5</v>
      </c>
      <c r="U154">
        <v>0</v>
      </c>
      <c r="V154">
        <v>0</v>
      </c>
      <c r="W154">
        <v>1</v>
      </c>
      <c r="X154">
        <v>1</v>
      </c>
      <c r="Y154">
        <v>33</v>
      </c>
      <c r="Z154">
        <v>20</v>
      </c>
      <c r="AA154">
        <v>0.1</v>
      </c>
      <c r="AB154" t="s">
        <v>374</v>
      </c>
      <c r="AC154">
        <v>1</v>
      </c>
      <c r="AD154">
        <v>0</v>
      </c>
      <c r="AE154">
        <v>0</v>
      </c>
      <c r="AF154">
        <v>0</v>
      </c>
      <c r="AG154">
        <v>-15</v>
      </c>
      <c r="AH154">
        <v>160</v>
      </c>
      <c r="AI154">
        <v>-11</v>
      </c>
      <c r="AJ154">
        <v>45</v>
      </c>
      <c r="AO154">
        <v>30</v>
      </c>
      <c r="AP154">
        <v>1</v>
      </c>
      <c r="AX154">
        <v>0.6</v>
      </c>
      <c r="AY154">
        <v>0.3</v>
      </c>
      <c r="BA154">
        <v>1</v>
      </c>
      <c r="BB154" s="2">
        <v>0.05</v>
      </c>
      <c r="BC154" s="2">
        <v>0.05</v>
      </c>
      <c r="BD154">
        <v>0.06</v>
      </c>
      <c r="BE154" s="2">
        <v>0.06</v>
      </c>
    </row>
    <row r="155" spans="1:64" hidden="1" x14ac:dyDescent="0.25">
      <c r="A155" t="s">
        <v>347</v>
      </c>
      <c r="B155" t="s">
        <v>483</v>
      </c>
      <c r="C155" t="s">
        <v>387</v>
      </c>
      <c r="D155" t="s">
        <v>388</v>
      </c>
      <c r="E155" t="s">
        <v>492</v>
      </c>
      <c r="F155" t="s">
        <v>492</v>
      </c>
      <c r="G155" t="s">
        <v>390</v>
      </c>
      <c r="H155" t="s">
        <v>384</v>
      </c>
      <c r="I155" t="s">
        <v>391</v>
      </c>
      <c r="J155" t="s">
        <v>392</v>
      </c>
      <c r="K155">
        <v>5000</v>
      </c>
      <c r="L155">
        <v>5500</v>
      </c>
      <c r="M155">
        <v>0</v>
      </c>
      <c r="N155">
        <v>0</v>
      </c>
      <c r="O155">
        <v>0</v>
      </c>
      <c r="P155">
        <v>0</v>
      </c>
      <c r="Q155">
        <v>1</v>
      </c>
      <c r="R155">
        <v>1</v>
      </c>
      <c r="S155">
        <v>1</v>
      </c>
      <c r="T155" t="s">
        <v>491</v>
      </c>
      <c r="U155">
        <v>0</v>
      </c>
      <c r="V155">
        <v>0</v>
      </c>
      <c r="W155">
        <v>1</v>
      </c>
      <c r="X155">
        <v>1</v>
      </c>
      <c r="Y155">
        <v>33</v>
      </c>
      <c r="Z155">
        <v>20</v>
      </c>
      <c r="AA155">
        <v>0.1</v>
      </c>
      <c r="AB155" t="s">
        <v>374</v>
      </c>
      <c r="AC155">
        <v>1</v>
      </c>
      <c r="AD155">
        <v>0</v>
      </c>
      <c r="AE155">
        <v>0</v>
      </c>
      <c r="AF155">
        <v>0</v>
      </c>
      <c r="AG155">
        <v>-180</v>
      </c>
      <c r="AH155">
        <v>180</v>
      </c>
      <c r="AI155">
        <v>-11</v>
      </c>
      <c r="AJ155">
        <v>45</v>
      </c>
      <c r="AO155">
        <v>30</v>
      </c>
      <c r="AP155">
        <v>1</v>
      </c>
      <c r="AX155">
        <v>0.6</v>
      </c>
      <c r="AY155">
        <v>0.3</v>
      </c>
      <c r="BA155">
        <v>1</v>
      </c>
      <c r="BB155">
        <v>0.1</v>
      </c>
      <c r="BD155">
        <v>0.06</v>
      </c>
    </row>
    <row r="156" spans="1:64" x14ac:dyDescent="0.25">
      <c r="A156" t="s">
        <v>347</v>
      </c>
      <c r="B156" t="s">
        <v>167</v>
      </c>
      <c r="C156" t="s">
        <v>387</v>
      </c>
      <c r="D156" t="s">
        <v>388</v>
      </c>
      <c r="E156" s="2">
        <v>1500</v>
      </c>
      <c r="F156" s="2">
        <v>1500</v>
      </c>
      <c r="G156" t="s">
        <v>390</v>
      </c>
      <c r="H156" t="s">
        <v>384</v>
      </c>
      <c r="I156" t="s">
        <v>391</v>
      </c>
      <c r="J156" t="s">
        <v>392</v>
      </c>
      <c r="K156">
        <v>5000</v>
      </c>
      <c r="L156">
        <v>5500</v>
      </c>
      <c r="M156">
        <v>0</v>
      </c>
      <c r="N156">
        <v>0</v>
      </c>
      <c r="O156">
        <v>0</v>
      </c>
      <c r="P156">
        <v>0</v>
      </c>
      <c r="Q156">
        <v>1</v>
      </c>
      <c r="R156">
        <v>1</v>
      </c>
      <c r="S156">
        <v>1</v>
      </c>
      <c r="T156" s="2">
        <v>5.5</v>
      </c>
      <c r="U156">
        <v>0</v>
      </c>
      <c r="V156">
        <v>0</v>
      </c>
      <c r="W156">
        <v>1</v>
      </c>
      <c r="X156">
        <v>1</v>
      </c>
      <c r="Y156">
        <v>33</v>
      </c>
      <c r="Z156">
        <v>20</v>
      </c>
      <c r="AA156">
        <v>0.1</v>
      </c>
      <c r="AB156" t="s">
        <v>374</v>
      </c>
      <c r="AC156">
        <v>1</v>
      </c>
      <c r="AD156">
        <v>0</v>
      </c>
      <c r="AE156">
        <v>0</v>
      </c>
      <c r="AF156">
        <v>0</v>
      </c>
      <c r="AG156">
        <v>-180</v>
      </c>
      <c r="AH156">
        <v>180</v>
      </c>
      <c r="AI156">
        <v>-11</v>
      </c>
      <c r="AJ156">
        <v>45</v>
      </c>
      <c r="AO156">
        <v>30</v>
      </c>
      <c r="AP156">
        <v>1</v>
      </c>
      <c r="AX156">
        <v>0.6</v>
      </c>
      <c r="AY156">
        <v>0.3</v>
      </c>
      <c r="BA156">
        <v>1</v>
      </c>
      <c r="BB156" s="2">
        <v>0.05</v>
      </c>
      <c r="BC156" s="2">
        <v>0.05</v>
      </c>
      <c r="BD156">
        <v>0.06</v>
      </c>
      <c r="BE156" s="2">
        <v>0.06</v>
      </c>
    </row>
    <row r="157" spans="1:64" hidden="1" x14ac:dyDescent="0.25">
      <c r="A157" t="s">
        <v>348</v>
      </c>
      <c r="B157" t="s">
        <v>483</v>
      </c>
      <c r="C157" t="s">
        <v>387</v>
      </c>
      <c r="D157" t="s">
        <v>388</v>
      </c>
      <c r="E157" t="s">
        <v>511</v>
      </c>
      <c r="F157" t="s">
        <v>511</v>
      </c>
      <c r="G157" t="s">
        <v>390</v>
      </c>
      <c r="H157" t="s">
        <v>393</v>
      </c>
      <c r="I157" t="s">
        <v>403</v>
      </c>
      <c r="J157" t="s">
        <v>392</v>
      </c>
      <c r="K157">
        <v>0</v>
      </c>
      <c r="L157">
        <v>5500</v>
      </c>
      <c r="M157">
        <v>0</v>
      </c>
      <c r="N157">
        <v>5</v>
      </c>
      <c r="O157">
        <v>2</v>
      </c>
      <c r="P157">
        <v>0</v>
      </c>
      <c r="Q157">
        <v>20</v>
      </c>
      <c r="R157">
        <v>0</v>
      </c>
      <c r="S157">
        <v>1</v>
      </c>
      <c r="T157">
        <v>12.75</v>
      </c>
      <c r="U157">
        <v>0</v>
      </c>
      <c r="V157">
        <v>0</v>
      </c>
      <c r="W157">
        <v>1</v>
      </c>
      <c r="X157">
        <v>1</v>
      </c>
      <c r="Y157">
        <v>29</v>
      </c>
      <c r="Z157">
        <v>29</v>
      </c>
      <c r="AA157">
        <v>0.1</v>
      </c>
      <c r="AB157" t="s">
        <v>374</v>
      </c>
      <c r="AC157">
        <v>1</v>
      </c>
      <c r="AD157">
        <v>0</v>
      </c>
      <c r="AE157">
        <v>1000</v>
      </c>
      <c r="AF157">
        <v>0</v>
      </c>
      <c r="AG157">
        <v>-115</v>
      </c>
      <c r="AH157">
        <v>115</v>
      </c>
      <c r="AI157">
        <v>-2</v>
      </c>
      <c r="AJ157">
        <v>12</v>
      </c>
      <c r="AK157" t="s">
        <v>387</v>
      </c>
      <c r="AL157" t="s">
        <v>395</v>
      </c>
      <c r="AM157">
        <v>-72</v>
      </c>
      <c r="AN157">
        <v>-72</v>
      </c>
      <c r="AO157">
        <v>50</v>
      </c>
      <c r="AP157">
        <v>1</v>
      </c>
      <c r="AX157">
        <v>0.2</v>
      </c>
      <c r="AY157">
        <v>0.3</v>
      </c>
      <c r="BA157">
        <v>1</v>
      </c>
      <c r="BB157">
        <v>0</v>
      </c>
      <c r="BD157">
        <v>0</v>
      </c>
    </row>
    <row r="158" spans="1:64" x14ac:dyDescent="0.25">
      <c r="A158" t="s">
        <v>348</v>
      </c>
      <c r="B158" t="s">
        <v>167</v>
      </c>
      <c r="C158" t="s">
        <v>387</v>
      </c>
      <c r="D158" t="s">
        <v>388</v>
      </c>
      <c r="E158" s="2">
        <v>2400</v>
      </c>
      <c r="F158" s="2">
        <v>2400</v>
      </c>
      <c r="G158" t="s">
        <v>390</v>
      </c>
      <c r="H158" t="s">
        <v>393</v>
      </c>
      <c r="I158" t="s">
        <v>403</v>
      </c>
      <c r="J158" t="s">
        <v>392</v>
      </c>
      <c r="K158">
        <v>0</v>
      </c>
      <c r="L158" s="2">
        <v>5300</v>
      </c>
      <c r="M158">
        <v>0</v>
      </c>
      <c r="N158">
        <v>5</v>
      </c>
      <c r="O158">
        <v>2</v>
      </c>
      <c r="P158">
        <v>0</v>
      </c>
      <c r="Q158">
        <v>20</v>
      </c>
      <c r="R158">
        <v>0</v>
      </c>
      <c r="S158">
        <v>1</v>
      </c>
      <c r="T158" s="2">
        <v>7</v>
      </c>
      <c r="U158">
        <v>0</v>
      </c>
      <c r="V158">
        <v>0</v>
      </c>
      <c r="W158">
        <v>1</v>
      </c>
      <c r="X158">
        <v>1</v>
      </c>
      <c r="Y158">
        <v>29</v>
      </c>
      <c r="Z158">
        <v>29</v>
      </c>
      <c r="AA158">
        <v>0.1</v>
      </c>
      <c r="AB158" t="s">
        <v>374</v>
      </c>
      <c r="AC158">
        <v>1</v>
      </c>
      <c r="AD158">
        <v>0</v>
      </c>
      <c r="AE158">
        <v>1000</v>
      </c>
      <c r="AF158">
        <v>0</v>
      </c>
      <c r="AG158">
        <v>-115</v>
      </c>
      <c r="AH158">
        <v>115</v>
      </c>
      <c r="AI158">
        <v>-2</v>
      </c>
      <c r="AJ158">
        <v>12</v>
      </c>
      <c r="AK158" t="s">
        <v>387</v>
      </c>
      <c r="AL158" t="s">
        <v>395</v>
      </c>
      <c r="AM158">
        <v>-72</v>
      </c>
      <c r="AN158">
        <v>-72</v>
      </c>
      <c r="AO158">
        <v>50</v>
      </c>
      <c r="AP158">
        <v>1</v>
      </c>
      <c r="AU158" s="2">
        <v>0.94</v>
      </c>
      <c r="AV158" s="2">
        <v>1</v>
      </c>
      <c r="AX158">
        <v>0.2</v>
      </c>
      <c r="AY158">
        <v>0.3</v>
      </c>
      <c r="BA158">
        <v>1</v>
      </c>
      <c r="BB158">
        <v>0</v>
      </c>
      <c r="BC158">
        <v>0</v>
      </c>
      <c r="BD158">
        <v>0</v>
      </c>
      <c r="BE158">
        <v>0</v>
      </c>
    </row>
    <row r="159" spans="1:64" hidden="1" x14ac:dyDescent="0.25">
      <c r="A159" t="s">
        <v>349</v>
      </c>
      <c r="B159" t="s">
        <v>483</v>
      </c>
      <c r="C159" t="s">
        <v>387</v>
      </c>
      <c r="D159" t="s">
        <v>388</v>
      </c>
      <c r="E159">
        <v>7.5</v>
      </c>
      <c r="F159">
        <v>8.5</v>
      </c>
      <c r="G159" t="s">
        <v>390</v>
      </c>
      <c r="H159" t="s">
        <v>384</v>
      </c>
      <c r="I159" t="s">
        <v>414</v>
      </c>
      <c r="J159" t="s">
        <v>392</v>
      </c>
      <c r="K159">
        <v>3500</v>
      </c>
      <c r="L159" t="s">
        <v>378</v>
      </c>
      <c r="M159">
        <v>0</v>
      </c>
      <c r="N159">
        <v>0</v>
      </c>
      <c r="O159">
        <v>0</v>
      </c>
      <c r="P159">
        <v>0</v>
      </c>
      <c r="Q159">
        <v>1</v>
      </c>
      <c r="R159">
        <v>1</v>
      </c>
      <c r="S159">
        <v>0</v>
      </c>
      <c r="T159">
        <v>0.9</v>
      </c>
      <c r="U159">
        <v>0</v>
      </c>
      <c r="V159">
        <v>0</v>
      </c>
      <c r="W159">
        <v>1</v>
      </c>
      <c r="X159">
        <v>1</v>
      </c>
      <c r="Y159">
        <v>95</v>
      </c>
      <c r="Z159">
        <v>95</v>
      </c>
      <c r="AA159">
        <v>0.5</v>
      </c>
      <c r="AB159" t="s">
        <v>374</v>
      </c>
      <c r="AC159">
        <v>0</v>
      </c>
      <c r="AD159">
        <v>0</v>
      </c>
      <c r="AE159">
        <v>0</v>
      </c>
      <c r="AF159">
        <v>0</v>
      </c>
      <c r="AG159">
        <v>-43</v>
      </c>
      <c r="AH159">
        <v>43</v>
      </c>
      <c r="AI159">
        <v>-10</v>
      </c>
      <c r="AJ159">
        <v>15</v>
      </c>
      <c r="AO159">
        <v>5</v>
      </c>
      <c r="AP159">
        <v>1</v>
      </c>
      <c r="AQ159">
        <v>0.96</v>
      </c>
      <c r="AS159">
        <v>0.98</v>
      </c>
      <c r="AU159">
        <v>0.8</v>
      </c>
      <c r="AX159">
        <v>0.6</v>
      </c>
      <c r="AY159">
        <v>0.8</v>
      </c>
      <c r="BA159">
        <v>1</v>
      </c>
      <c r="BB159">
        <v>7.9000000000000001E-2</v>
      </c>
      <c r="BD159">
        <v>0.20200000000000001</v>
      </c>
      <c r="BF159">
        <v>0.6</v>
      </c>
      <c r="BG159">
        <v>0.6</v>
      </c>
      <c r="BH159">
        <v>0.6</v>
      </c>
      <c r="BK159">
        <v>0.6</v>
      </c>
    </row>
    <row r="160" spans="1:64" x14ac:dyDescent="0.25">
      <c r="A160" t="s">
        <v>349</v>
      </c>
      <c r="B160" t="s">
        <v>167</v>
      </c>
      <c r="C160" t="s">
        <v>387</v>
      </c>
      <c r="D160" t="s">
        <v>388</v>
      </c>
      <c r="E160" s="2">
        <v>7</v>
      </c>
      <c r="F160" s="2">
        <v>8</v>
      </c>
      <c r="G160" t="s">
        <v>390</v>
      </c>
      <c r="H160" t="s">
        <v>384</v>
      </c>
      <c r="I160" t="s">
        <v>414</v>
      </c>
      <c r="J160" t="s">
        <v>392</v>
      </c>
      <c r="K160">
        <v>3500</v>
      </c>
      <c r="L160" t="s">
        <v>378</v>
      </c>
      <c r="M160">
        <v>0</v>
      </c>
      <c r="N160">
        <v>0</v>
      </c>
      <c r="O160">
        <v>0</v>
      </c>
      <c r="P160">
        <v>0</v>
      </c>
      <c r="Q160">
        <v>1</v>
      </c>
      <c r="R160">
        <v>1</v>
      </c>
      <c r="S160">
        <v>0</v>
      </c>
      <c r="T160">
        <v>0.9</v>
      </c>
      <c r="U160">
        <v>0</v>
      </c>
      <c r="V160">
        <v>0</v>
      </c>
      <c r="W160" s="2">
        <v>0.8</v>
      </c>
      <c r="X160">
        <v>1</v>
      </c>
      <c r="Y160" s="2">
        <v>105</v>
      </c>
      <c r="Z160" s="2">
        <v>105</v>
      </c>
      <c r="AA160">
        <v>0.5</v>
      </c>
      <c r="AB160" t="s">
        <v>374</v>
      </c>
      <c r="AC160">
        <v>0</v>
      </c>
      <c r="AD160">
        <v>0</v>
      </c>
      <c r="AE160">
        <v>0</v>
      </c>
      <c r="AF160" s="2">
        <v>3</v>
      </c>
      <c r="AG160">
        <v>-43</v>
      </c>
      <c r="AH160">
        <v>43</v>
      </c>
      <c r="AI160">
        <v>-10</v>
      </c>
      <c r="AJ160">
        <v>15</v>
      </c>
      <c r="AO160">
        <v>5</v>
      </c>
      <c r="AP160">
        <v>1</v>
      </c>
      <c r="AQ160" s="2" t="s">
        <v>471</v>
      </c>
      <c r="AR160" s="2" t="s">
        <v>472</v>
      </c>
      <c r="AS160">
        <v>0.98</v>
      </c>
      <c r="AT160" s="2" t="s">
        <v>473</v>
      </c>
      <c r="AU160">
        <v>0.8</v>
      </c>
      <c r="AW160" s="2">
        <v>1.1000000000000001</v>
      </c>
      <c r="AX160" s="2">
        <v>0.5</v>
      </c>
      <c r="AY160">
        <v>0.8</v>
      </c>
      <c r="BA160">
        <v>1</v>
      </c>
      <c r="BB160" s="2">
        <v>0.08</v>
      </c>
      <c r="BC160" s="2" t="s">
        <v>474</v>
      </c>
      <c r="BD160" s="2">
        <v>0.20499999999999999</v>
      </c>
      <c r="BE160" s="2" t="s">
        <v>475</v>
      </c>
      <c r="BF160">
        <v>0.6</v>
      </c>
      <c r="BG160">
        <v>0.6</v>
      </c>
      <c r="BH160">
        <v>0.6</v>
      </c>
      <c r="BJ160" s="2">
        <v>0.5</v>
      </c>
      <c r="BK160">
        <v>0.6</v>
      </c>
    </row>
    <row r="161" spans="1:63" hidden="1" x14ac:dyDescent="0.25">
      <c r="A161" t="s">
        <v>350</v>
      </c>
      <c r="B161" t="s">
        <v>483</v>
      </c>
      <c r="C161" t="s">
        <v>387</v>
      </c>
      <c r="D161" t="s">
        <v>388</v>
      </c>
      <c r="E161">
        <v>22</v>
      </c>
      <c r="F161">
        <v>23</v>
      </c>
      <c r="G161" t="s">
        <v>383</v>
      </c>
      <c r="H161" t="s">
        <v>393</v>
      </c>
      <c r="I161" t="s">
        <v>422</v>
      </c>
      <c r="J161" t="s">
        <v>392</v>
      </c>
      <c r="K161">
        <v>0</v>
      </c>
      <c r="L161">
        <v>2575</v>
      </c>
      <c r="M161">
        <v>0</v>
      </c>
      <c r="N161">
        <v>0.5</v>
      </c>
      <c r="O161">
        <v>0</v>
      </c>
      <c r="P161">
        <v>0</v>
      </c>
      <c r="Q161">
        <v>2</v>
      </c>
      <c r="R161">
        <v>0</v>
      </c>
      <c r="S161">
        <v>0</v>
      </c>
      <c r="T161">
        <v>0.44</v>
      </c>
      <c r="U161">
        <v>1.35</v>
      </c>
      <c r="V161">
        <v>2.5</v>
      </c>
      <c r="W161">
        <v>1</v>
      </c>
      <c r="X161">
        <v>1</v>
      </c>
      <c r="Y161">
        <v>0</v>
      </c>
      <c r="Z161">
        <v>0</v>
      </c>
      <c r="AA161">
        <v>0.5</v>
      </c>
      <c r="AB161" t="s">
        <v>374</v>
      </c>
      <c r="AC161">
        <v>1</v>
      </c>
      <c r="AD161">
        <v>0</v>
      </c>
      <c r="AE161">
        <v>0</v>
      </c>
      <c r="AF161">
        <v>83</v>
      </c>
      <c r="AG161">
        <v>0</v>
      </c>
      <c r="AH161">
        <v>0</v>
      </c>
      <c r="AI161">
        <v>0</v>
      </c>
      <c r="AJ161">
        <v>0</v>
      </c>
      <c r="AO161">
        <v>5</v>
      </c>
      <c r="AP161">
        <v>0</v>
      </c>
      <c r="BA161">
        <v>0</v>
      </c>
    </row>
    <row r="162" spans="1:63" x14ac:dyDescent="0.25">
      <c r="A162" t="s">
        <v>350</v>
      </c>
      <c r="B162" t="s">
        <v>167</v>
      </c>
      <c r="C162" t="s">
        <v>387</v>
      </c>
      <c r="D162" t="s">
        <v>388</v>
      </c>
      <c r="E162" s="2">
        <v>12</v>
      </c>
      <c r="F162" s="2">
        <v>12</v>
      </c>
      <c r="G162" t="s">
        <v>383</v>
      </c>
      <c r="H162" t="s">
        <v>393</v>
      </c>
      <c r="I162" t="s">
        <v>422</v>
      </c>
      <c r="J162" t="s">
        <v>392</v>
      </c>
      <c r="K162">
        <v>0</v>
      </c>
      <c r="L162">
        <v>2575</v>
      </c>
      <c r="M162">
        <v>0</v>
      </c>
      <c r="N162">
        <v>0.5</v>
      </c>
      <c r="O162">
        <v>0</v>
      </c>
      <c r="P162">
        <v>0</v>
      </c>
      <c r="Q162">
        <v>2</v>
      </c>
      <c r="R162">
        <v>0</v>
      </c>
      <c r="S162">
        <v>0</v>
      </c>
      <c r="T162" s="2">
        <v>1</v>
      </c>
      <c r="U162" s="2">
        <v>1</v>
      </c>
      <c r="V162" s="2">
        <v>5</v>
      </c>
      <c r="W162">
        <v>1</v>
      </c>
      <c r="X162">
        <v>1</v>
      </c>
      <c r="Y162">
        <v>0</v>
      </c>
      <c r="Z162">
        <v>0</v>
      </c>
      <c r="AA162">
        <v>0.5</v>
      </c>
      <c r="AB162" t="s">
        <v>374</v>
      </c>
      <c r="AC162">
        <v>1</v>
      </c>
      <c r="AD162">
        <v>0</v>
      </c>
      <c r="AE162">
        <v>0</v>
      </c>
      <c r="AF162" s="2">
        <v>45</v>
      </c>
      <c r="AG162">
        <v>0</v>
      </c>
      <c r="AH162">
        <v>0</v>
      </c>
      <c r="AI162">
        <v>0</v>
      </c>
      <c r="AJ162">
        <v>0</v>
      </c>
      <c r="AO162">
        <v>5</v>
      </c>
      <c r="AP162">
        <v>0</v>
      </c>
      <c r="BA162">
        <v>0</v>
      </c>
    </row>
    <row r="163" spans="1:63" hidden="1" x14ac:dyDescent="0.25">
      <c r="A163" t="s">
        <v>351</v>
      </c>
      <c r="B163" t="s">
        <v>483</v>
      </c>
      <c r="C163" t="s">
        <v>387</v>
      </c>
      <c r="D163" t="s">
        <v>388</v>
      </c>
      <c r="E163" t="s">
        <v>512</v>
      </c>
      <c r="F163" t="s">
        <v>513</v>
      </c>
      <c r="G163" t="s">
        <v>390</v>
      </c>
      <c r="H163" t="s">
        <v>384</v>
      </c>
      <c r="I163" t="s">
        <v>391</v>
      </c>
      <c r="J163" t="s">
        <v>392</v>
      </c>
      <c r="K163">
        <v>5000</v>
      </c>
      <c r="L163">
        <v>4500</v>
      </c>
      <c r="M163">
        <v>0</v>
      </c>
      <c r="N163">
        <v>0</v>
      </c>
      <c r="O163">
        <v>0</v>
      </c>
      <c r="P163">
        <v>0</v>
      </c>
      <c r="Q163">
        <v>1</v>
      </c>
      <c r="R163">
        <v>1</v>
      </c>
      <c r="S163">
        <v>1</v>
      </c>
      <c r="T163" t="s">
        <v>493</v>
      </c>
      <c r="U163">
        <v>0</v>
      </c>
      <c r="V163">
        <v>0</v>
      </c>
      <c r="W163">
        <v>1</v>
      </c>
      <c r="X163">
        <v>1</v>
      </c>
      <c r="Y163">
        <v>40</v>
      </c>
      <c r="Z163">
        <v>25</v>
      </c>
      <c r="AA163">
        <v>0.1</v>
      </c>
      <c r="AB163" t="s">
        <v>374</v>
      </c>
      <c r="AC163">
        <v>1</v>
      </c>
      <c r="AD163">
        <v>0</v>
      </c>
      <c r="AE163">
        <v>0</v>
      </c>
      <c r="AF163">
        <v>0</v>
      </c>
      <c r="AG163">
        <v>-155</v>
      </c>
      <c r="AH163">
        <v>155</v>
      </c>
      <c r="AI163">
        <v>-11</v>
      </c>
      <c r="AJ163">
        <v>45</v>
      </c>
      <c r="AO163">
        <v>30</v>
      </c>
      <c r="AP163">
        <v>1</v>
      </c>
      <c r="AX163">
        <v>0.6</v>
      </c>
      <c r="AY163">
        <v>0.3</v>
      </c>
      <c r="BA163">
        <v>1</v>
      </c>
      <c r="BB163">
        <v>0.1</v>
      </c>
      <c r="BD163">
        <v>0.06</v>
      </c>
    </row>
    <row r="164" spans="1:63" x14ac:dyDescent="0.25">
      <c r="A164" t="s">
        <v>351</v>
      </c>
      <c r="B164" t="s">
        <v>167</v>
      </c>
      <c r="C164" t="s">
        <v>387</v>
      </c>
      <c r="D164" t="s">
        <v>388</v>
      </c>
      <c r="E164" s="2">
        <v>995</v>
      </c>
      <c r="F164" s="2">
        <v>995</v>
      </c>
      <c r="G164" t="s">
        <v>390</v>
      </c>
      <c r="H164" t="s">
        <v>384</v>
      </c>
      <c r="I164" t="s">
        <v>391</v>
      </c>
      <c r="J164" t="s">
        <v>392</v>
      </c>
      <c r="K164">
        <v>5000</v>
      </c>
      <c r="L164">
        <v>4500</v>
      </c>
      <c r="M164">
        <v>0</v>
      </c>
      <c r="N164">
        <v>0</v>
      </c>
      <c r="O164">
        <v>0</v>
      </c>
      <c r="P164">
        <v>0</v>
      </c>
      <c r="Q164">
        <v>1</v>
      </c>
      <c r="R164">
        <v>1</v>
      </c>
      <c r="S164">
        <v>1</v>
      </c>
      <c r="T164" s="2">
        <v>5.74</v>
      </c>
      <c r="U164">
        <v>0</v>
      </c>
      <c r="V164">
        <v>0</v>
      </c>
      <c r="W164">
        <v>1</v>
      </c>
      <c r="X164">
        <v>1</v>
      </c>
      <c r="Y164">
        <v>40</v>
      </c>
      <c r="Z164" s="2">
        <v>20</v>
      </c>
      <c r="AA164">
        <v>0.1</v>
      </c>
      <c r="AB164" t="s">
        <v>374</v>
      </c>
      <c r="AC164">
        <v>1</v>
      </c>
      <c r="AD164">
        <v>0</v>
      </c>
      <c r="AE164">
        <v>0</v>
      </c>
      <c r="AF164">
        <v>0</v>
      </c>
      <c r="AG164">
        <v>-155</v>
      </c>
      <c r="AH164">
        <v>155</v>
      </c>
      <c r="AI164">
        <v>-11</v>
      </c>
      <c r="AJ164">
        <v>45</v>
      </c>
      <c r="AO164">
        <v>30</v>
      </c>
      <c r="AP164">
        <v>1</v>
      </c>
      <c r="AU164" s="2">
        <v>0.94</v>
      </c>
      <c r="AV164" s="2">
        <v>1</v>
      </c>
      <c r="AX164" s="2">
        <v>0.45</v>
      </c>
      <c r="AY164">
        <v>0.3</v>
      </c>
      <c r="BA164">
        <v>1</v>
      </c>
      <c r="BB164">
        <v>0.1</v>
      </c>
      <c r="BC164" s="2">
        <v>0.1</v>
      </c>
      <c r="BD164" s="2">
        <v>0.05</v>
      </c>
      <c r="BE164" s="2">
        <v>0.05</v>
      </c>
      <c r="BF164" s="2">
        <v>0.9</v>
      </c>
      <c r="BG164" s="2">
        <v>0.9</v>
      </c>
      <c r="BH164" s="2">
        <v>0.9</v>
      </c>
      <c r="BJ164" s="2">
        <v>0.75</v>
      </c>
    </row>
    <row r="165" spans="1:63" hidden="1" x14ac:dyDescent="0.25">
      <c r="A165" t="s">
        <v>352</v>
      </c>
      <c r="B165" t="s">
        <v>483</v>
      </c>
      <c r="C165" t="s">
        <v>387</v>
      </c>
      <c r="D165" t="s">
        <v>388</v>
      </c>
      <c r="E165" t="s">
        <v>496</v>
      </c>
      <c r="F165" t="s">
        <v>497</v>
      </c>
      <c r="G165" t="s">
        <v>383</v>
      </c>
      <c r="H165" t="s">
        <v>393</v>
      </c>
      <c r="I165" t="s">
        <v>403</v>
      </c>
      <c r="J165" t="s">
        <v>392</v>
      </c>
      <c r="K165">
        <v>0</v>
      </c>
      <c r="L165">
        <v>4500</v>
      </c>
      <c r="M165">
        <v>0</v>
      </c>
      <c r="N165">
        <v>4</v>
      </c>
      <c r="O165">
        <v>2</v>
      </c>
      <c r="P165">
        <v>0</v>
      </c>
      <c r="Q165">
        <v>20</v>
      </c>
      <c r="R165">
        <v>0</v>
      </c>
      <c r="S165">
        <v>1</v>
      </c>
      <c r="T165">
        <v>12.5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0.1</v>
      </c>
      <c r="AB165" t="s">
        <v>374</v>
      </c>
      <c r="AC165">
        <v>0</v>
      </c>
      <c r="AD165">
        <v>0</v>
      </c>
      <c r="AE165">
        <v>0</v>
      </c>
      <c r="AF165">
        <v>14</v>
      </c>
      <c r="AG165">
        <v>0</v>
      </c>
      <c r="AH165">
        <v>0</v>
      </c>
      <c r="AI165">
        <v>0</v>
      </c>
      <c r="AJ165">
        <v>0</v>
      </c>
      <c r="AK165" t="s">
        <v>387</v>
      </c>
      <c r="AL165" t="s">
        <v>395</v>
      </c>
      <c r="AM165">
        <v>-25</v>
      </c>
      <c r="AN165">
        <v>-25</v>
      </c>
      <c r="AO165">
        <v>30</v>
      </c>
      <c r="AP165">
        <v>1</v>
      </c>
      <c r="AX165">
        <v>0.2</v>
      </c>
      <c r="AY165">
        <v>0.3</v>
      </c>
      <c r="BA165">
        <v>1</v>
      </c>
      <c r="BB165">
        <v>0.08</v>
      </c>
      <c r="BD165">
        <v>0.04</v>
      </c>
    </row>
    <row r="166" spans="1:63" x14ac:dyDescent="0.25">
      <c r="A166" t="s">
        <v>352</v>
      </c>
      <c r="B166" t="s">
        <v>167</v>
      </c>
      <c r="C166" t="s">
        <v>387</v>
      </c>
      <c r="D166" t="s">
        <v>388</v>
      </c>
      <c r="E166" s="2">
        <v>1900</v>
      </c>
      <c r="F166" s="2">
        <v>1900</v>
      </c>
      <c r="G166" t="s">
        <v>383</v>
      </c>
      <c r="H166" t="s">
        <v>393</v>
      </c>
      <c r="I166" t="s">
        <v>403</v>
      </c>
      <c r="J166" t="s">
        <v>392</v>
      </c>
      <c r="K166">
        <v>0</v>
      </c>
      <c r="L166">
        <v>4500</v>
      </c>
      <c r="M166">
        <v>0</v>
      </c>
      <c r="N166">
        <v>4</v>
      </c>
      <c r="O166">
        <v>2</v>
      </c>
      <c r="P166">
        <v>0</v>
      </c>
      <c r="Q166">
        <v>20</v>
      </c>
      <c r="R166">
        <v>0</v>
      </c>
      <c r="S166">
        <v>1</v>
      </c>
      <c r="T166" s="2">
        <v>12</v>
      </c>
      <c r="U166">
        <v>0</v>
      </c>
      <c r="V166">
        <v>0</v>
      </c>
      <c r="W166" s="2">
        <v>1</v>
      </c>
      <c r="X166">
        <v>0</v>
      </c>
      <c r="Y166" s="2">
        <v>35</v>
      </c>
      <c r="Z166" s="2">
        <v>20</v>
      </c>
      <c r="AA166">
        <v>0.1</v>
      </c>
      <c r="AB166" t="s">
        <v>374</v>
      </c>
      <c r="AC166">
        <v>0</v>
      </c>
      <c r="AD166">
        <v>0</v>
      </c>
      <c r="AE166">
        <v>0</v>
      </c>
      <c r="AF166">
        <v>14</v>
      </c>
      <c r="AG166">
        <v>0</v>
      </c>
      <c r="AH166">
        <v>0</v>
      </c>
      <c r="AI166">
        <v>0</v>
      </c>
      <c r="AJ166">
        <v>0</v>
      </c>
      <c r="AK166" t="s">
        <v>387</v>
      </c>
      <c r="AL166" t="s">
        <v>395</v>
      </c>
      <c r="AM166">
        <v>-25</v>
      </c>
      <c r="AN166">
        <v>-25</v>
      </c>
      <c r="AO166" s="2">
        <v>15</v>
      </c>
      <c r="AP166">
        <v>1</v>
      </c>
      <c r="AU166" s="2">
        <v>1</v>
      </c>
      <c r="AV166" s="2">
        <v>0.9</v>
      </c>
      <c r="AX166">
        <v>0.2</v>
      </c>
      <c r="AY166">
        <v>0.3</v>
      </c>
      <c r="BA166">
        <v>1</v>
      </c>
      <c r="BB166">
        <v>0.08</v>
      </c>
      <c r="BC166" s="2">
        <v>0.08</v>
      </c>
      <c r="BD166">
        <v>0.04</v>
      </c>
      <c r="BE166" s="2">
        <v>0.04</v>
      </c>
      <c r="BF166" s="2">
        <v>0.9</v>
      </c>
      <c r="BG166" s="2">
        <v>0.8</v>
      </c>
      <c r="BH166" s="2">
        <v>0.8</v>
      </c>
    </row>
    <row r="167" spans="1:63" hidden="1" x14ac:dyDescent="0.25">
      <c r="A167" t="s">
        <v>353</v>
      </c>
      <c r="B167" t="s">
        <v>483</v>
      </c>
      <c r="C167" t="s">
        <v>387</v>
      </c>
      <c r="D167" t="s">
        <v>388</v>
      </c>
      <c r="E167">
        <v>1100</v>
      </c>
      <c r="F167">
        <v>1100</v>
      </c>
      <c r="G167" t="s">
        <v>396</v>
      </c>
      <c r="H167" t="s">
        <v>397</v>
      </c>
      <c r="I167" t="s">
        <v>436</v>
      </c>
      <c r="J167" t="s">
        <v>392</v>
      </c>
      <c r="K167">
        <v>155</v>
      </c>
      <c r="L167">
        <v>4500</v>
      </c>
      <c r="M167">
        <v>0</v>
      </c>
      <c r="N167">
        <v>0</v>
      </c>
      <c r="O167">
        <v>0</v>
      </c>
      <c r="P167">
        <v>0</v>
      </c>
      <c r="Q167">
        <v>1</v>
      </c>
      <c r="R167">
        <v>0</v>
      </c>
      <c r="S167">
        <v>1</v>
      </c>
      <c r="T167">
        <v>5.5</v>
      </c>
      <c r="U167">
        <v>0</v>
      </c>
      <c r="V167">
        <v>0</v>
      </c>
      <c r="W167">
        <v>1</v>
      </c>
      <c r="X167">
        <v>0</v>
      </c>
      <c r="Y167">
        <v>0</v>
      </c>
      <c r="Z167">
        <v>0</v>
      </c>
      <c r="AA167">
        <v>0.1</v>
      </c>
      <c r="AB167" t="s">
        <v>374</v>
      </c>
      <c r="AC167">
        <v>0</v>
      </c>
      <c r="AD167">
        <v>0</v>
      </c>
      <c r="AE167">
        <v>0</v>
      </c>
      <c r="AF167">
        <v>155</v>
      </c>
      <c r="AG167">
        <v>0</v>
      </c>
      <c r="AH167">
        <v>0</v>
      </c>
      <c r="AI167">
        <v>0</v>
      </c>
      <c r="AJ167">
        <v>0</v>
      </c>
      <c r="AO167">
        <v>5</v>
      </c>
      <c r="AP167">
        <v>0.5</v>
      </c>
      <c r="AQ167">
        <v>0.23499999999999999</v>
      </c>
      <c r="AS167">
        <v>0.31</v>
      </c>
      <c r="AU167">
        <v>0.39</v>
      </c>
      <c r="AV167">
        <v>0.47</v>
      </c>
      <c r="AW167">
        <v>0.37</v>
      </c>
      <c r="AX167">
        <v>0.28000000000000003</v>
      </c>
      <c r="AZ167">
        <v>0.25</v>
      </c>
      <c r="BA167">
        <v>1</v>
      </c>
      <c r="BB167">
        <v>1</v>
      </c>
      <c r="BD167">
        <v>1</v>
      </c>
    </row>
    <row r="168" spans="1:63" x14ac:dyDescent="0.25">
      <c r="A168" t="s">
        <v>353</v>
      </c>
      <c r="B168" t="s">
        <v>167</v>
      </c>
      <c r="C168" t="s">
        <v>387</v>
      </c>
      <c r="D168" t="s">
        <v>388</v>
      </c>
      <c r="E168" s="2">
        <v>130</v>
      </c>
      <c r="F168" s="2">
        <v>130</v>
      </c>
      <c r="G168" t="s">
        <v>396</v>
      </c>
      <c r="H168" t="s">
        <v>397</v>
      </c>
      <c r="I168" t="s">
        <v>436</v>
      </c>
      <c r="J168" t="s">
        <v>392</v>
      </c>
      <c r="K168" s="2">
        <v>350</v>
      </c>
      <c r="L168">
        <v>4500</v>
      </c>
      <c r="M168">
        <v>0</v>
      </c>
      <c r="N168">
        <v>0</v>
      </c>
      <c r="O168">
        <v>0</v>
      </c>
      <c r="P168">
        <v>0</v>
      </c>
      <c r="Q168">
        <v>1</v>
      </c>
      <c r="R168">
        <v>0</v>
      </c>
      <c r="S168">
        <v>1</v>
      </c>
      <c r="T168" s="2">
        <v>2.75</v>
      </c>
      <c r="U168">
        <v>0</v>
      </c>
      <c r="V168">
        <v>0</v>
      </c>
      <c r="W168">
        <v>1</v>
      </c>
      <c r="X168">
        <v>0</v>
      </c>
      <c r="Y168">
        <v>0</v>
      </c>
      <c r="Z168">
        <v>0</v>
      </c>
      <c r="AA168">
        <v>0.1</v>
      </c>
      <c r="AB168" t="s">
        <v>374</v>
      </c>
      <c r="AC168">
        <v>0</v>
      </c>
      <c r="AD168">
        <v>0</v>
      </c>
      <c r="AE168">
        <v>0</v>
      </c>
      <c r="AF168">
        <v>155</v>
      </c>
      <c r="AG168">
        <v>0</v>
      </c>
      <c r="AH168">
        <v>0</v>
      </c>
      <c r="AI168">
        <v>0</v>
      </c>
      <c r="AJ168">
        <v>0</v>
      </c>
      <c r="AO168" s="2">
        <v>15</v>
      </c>
      <c r="AP168">
        <v>0.5</v>
      </c>
      <c r="AQ168" s="2">
        <v>0.24</v>
      </c>
      <c r="AR168" s="2">
        <v>1.25</v>
      </c>
      <c r="AS168" s="2">
        <v>1.25</v>
      </c>
      <c r="AT168" s="2">
        <v>2.5</v>
      </c>
      <c r="AU168" s="2">
        <v>0.98</v>
      </c>
      <c r="AV168" s="2">
        <v>1.25</v>
      </c>
      <c r="AW168" s="2">
        <v>0.74</v>
      </c>
      <c r="AX168" s="2">
        <v>0.76</v>
      </c>
      <c r="AZ168" s="2">
        <v>1</v>
      </c>
      <c r="BA168">
        <v>1</v>
      </c>
      <c r="BB168">
        <v>1</v>
      </c>
      <c r="BC168" s="2">
        <v>1</v>
      </c>
      <c r="BD168">
        <v>1</v>
      </c>
      <c r="BE168" s="2">
        <v>1</v>
      </c>
    </row>
    <row r="169" spans="1:63" hidden="1" x14ac:dyDescent="0.25">
      <c r="A169" t="s">
        <v>354</v>
      </c>
      <c r="B169" t="s">
        <v>483</v>
      </c>
      <c r="C169" t="s">
        <v>387</v>
      </c>
      <c r="D169" t="s">
        <v>388</v>
      </c>
      <c r="E169" t="s">
        <v>498</v>
      </c>
      <c r="F169" t="s">
        <v>499</v>
      </c>
      <c r="G169" t="s">
        <v>396</v>
      </c>
      <c r="H169" t="s">
        <v>397</v>
      </c>
      <c r="I169" t="s">
        <v>437</v>
      </c>
      <c r="J169" t="s">
        <v>386</v>
      </c>
      <c r="K169">
        <v>175</v>
      </c>
      <c r="L169">
        <v>4500</v>
      </c>
      <c r="M169">
        <v>0</v>
      </c>
      <c r="N169">
        <v>0</v>
      </c>
      <c r="O169">
        <v>0</v>
      </c>
      <c r="P169">
        <v>0</v>
      </c>
      <c r="Q169">
        <v>1</v>
      </c>
      <c r="R169">
        <v>0</v>
      </c>
      <c r="S169">
        <v>1</v>
      </c>
      <c r="T169">
        <v>60</v>
      </c>
      <c r="U169">
        <v>0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0.1</v>
      </c>
      <c r="AB169" t="s">
        <v>374</v>
      </c>
      <c r="AC169">
        <v>0</v>
      </c>
      <c r="AD169">
        <v>0</v>
      </c>
      <c r="AE169">
        <v>0</v>
      </c>
      <c r="AF169">
        <v>155</v>
      </c>
      <c r="AG169">
        <v>0</v>
      </c>
      <c r="AH169">
        <v>0</v>
      </c>
      <c r="AI169">
        <v>0</v>
      </c>
      <c r="AJ169">
        <v>0</v>
      </c>
      <c r="AO169" t="s">
        <v>500</v>
      </c>
      <c r="AP169">
        <v>0.5</v>
      </c>
      <c r="AQ169">
        <v>7.4999999999999997E-2</v>
      </c>
      <c r="AS169">
        <v>0.12</v>
      </c>
      <c r="AU169">
        <v>0.4</v>
      </c>
      <c r="AV169">
        <v>0.54</v>
      </c>
      <c r="AW169">
        <v>0.35</v>
      </c>
      <c r="AX169">
        <v>0.28000000000000003</v>
      </c>
      <c r="AZ169">
        <v>0.25</v>
      </c>
      <c r="BA169">
        <v>1</v>
      </c>
      <c r="BB169">
        <v>1</v>
      </c>
      <c r="BD169">
        <v>1</v>
      </c>
    </row>
    <row r="170" spans="1:63" x14ac:dyDescent="0.25">
      <c r="A170" t="s">
        <v>354</v>
      </c>
      <c r="B170" t="s">
        <v>167</v>
      </c>
      <c r="C170" t="s">
        <v>387</v>
      </c>
      <c r="D170" t="s">
        <v>388</v>
      </c>
      <c r="E170" s="2">
        <v>260</v>
      </c>
      <c r="F170" s="2">
        <v>260</v>
      </c>
      <c r="G170" t="s">
        <v>396</v>
      </c>
      <c r="H170" t="s">
        <v>397</v>
      </c>
      <c r="I170" t="s">
        <v>437</v>
      </c>
      <c r="J170" t="s">
        <v>386</v>
      </c>
      <c r="K170" s="2">
        <v>675</v>
      </c>
      <c r="L170">
        <v>4500</v>
      </c>
      <c r="M170">
        <v>0</v>
      </c>
      <c r="N170">
        <v>0</v>
      </c>
      <c r="O170">
        <v>0</v>
      </c>
      <c r="P170">
        <v>0</v>
      </c>
      <c r="Q170">
        <v>1</v>
      </c>
      <c r="R170">
        <v>0</v>
      </c>
      <c r="S170">
        <v>1</v>
      </c>
      <c r="T170" s="2">
        <v>30</v>
      </c>
      <c r="U170">
        <v>0</v>
      </c>
      <c r="V170">
        <v>0</v>
      </c>
      <c r="W170">
        <v>1</v>
      </c>
      <c r="X170">
        <v>0</v>
      </c>
      <c r="Y170">
        <v>0</v>
      </c>
      <c r="Z170">
        <v>0</v>
      </c>
      <c r="AA170">
        <v>0.1</v>
      </c>
      <c r="AB170" t="s">
        <v>374</v>
      </c>
      <c r="AC170">
        <v>0</v>
      </c>
      <c r="AD170">
        <v>0</v>
      </c>
      <c r="AE170">
        <v>0</v>
      </c>
      <c r="AF170">
        <v>155</v>
      </c>
      <c r="AG170">
        <v>0</v>
      </c>
      <c r="AH170">
        <v>0</v>
      </c>
      <c r="AI170">
        <v>0</v>
      </c>
      <c r="AJ170">
        <v>0</v>
      </c>
      <c r="AO170" s="2">
        <v>25</v>
      </c>
      <c r="AP170">
        <v>0.5</v>
      </c>
      <c r="AQ170" s="2">
        <v>0.24</v>
      </c>
      <c r="AR170" s="2">
        <v>1.25</v>
      </c>
      <c r="AS170" s="2">
        <v>0.82</v>
      </c>
      <c r="AT170" s="2">
        <v>2.5</v>
      </c>
      <c r="AU170" s="2">
        <v>0.98</v>
      </c>
      <c r="AV170" s="2">
        <v>1</v>
      </c>
      <c r="AW170" s="2">
        <v>0.32</v>
      </c>
      <c r="AX170" s="2">
        <v>0.32</v>
      </c>
      <c r="AZ170" s="2">
        <v>1</v>
      </c>
      <c r="BA170">
        <v>1</v>
      </c>
      <c r="BB170">
        <v>1</v>
      </c>
      <c r="BC170" s="2">
        <v>1</v>
      </c>
      <c r="BD170">
        <v>1</v>
      </c>
      <c r="BE170" s="2">
        <v>1</v>
      </c>
    </row>
    <row r="171" spans="1:63" hidden="1" x14ac:dyDescent="0.25">
      <c r="A171" t="s">
        <v>357</v>
      </c>
      <c r="B171" t="s">
        <v>483</v>
      </c>
      <c r="C171" t="s">
        <v>387</v>
      </c>
      <c r="D171" t="s">
        <v>409</v>
      </c>
      <c r="E171">
        <v>0</v>
      </c>
      <c r="F171">
        <v>0</v>
      </c>
      <c r="G171" t="s">
        <v>390</v>
      </c>
      <c r="H171" t="s">
        <v>384</v>
      </c>
      <c r="I171" t="s">
        <v>408</v>
      </c>
      <c r="J171" t="s">
        <v>386</v>
      </c>
      <c r="K171">
        <v>1050</v>
      </c>
      <c r="L171" t="s">
        <v>379</v>
      </c>
      <c r="M171">
        <v>0</v>
      </c>
      <c r="N171">
        <v>0</v>
      </c>
      <c r="O171">
        <v>0</v>
      </c>
      <c r="P171">
        <v>0</v>
      </c>
      <c r="Q171">
        <v>1</v>
      </c>
      <c r="R171">
        <v>1</v>
      </c>
      <c r="S171">
        <v>0</v>
      </c>
      <c r="T171">
        <v>37</v>
      </c>
      <c r="U171">
        <v>0</v>
      </c>
      <c r="V171">
        <v>0</v>
      </c>
      <c r="W171">
        <v>0</v>
      </c>
      <c r="X171">
        <v>0</v>
      </c>
      <c r="Y171">
        <v>60</v>
      </c>
      <c r="Z171">
        <v>60</v>
      </c>
      <c r="AA171">
        <v>0.1</v>
      </c>
      <c r="AB171" t="s">
        <v>374</v>
      </c>
      <c r="AC171">
        <v>0</v>
      </c>
      <c r="AD171">
        <v>0</v>
      </c>
      <c r="AE171">
        <v>0</v>
      </c>
      <c r="AF171">
        <v>0</v>
      </c>
      <c r="AG171">
        <v>-7</v>
      </c>
      <c r="AH171">
        <v>36</v>
      </c>
      <c r="AI171">
        <v>0</v>
      </c>
      <c r="AJ171">
        <v>0</v>
      </c>
      <c r="AK171" t="s">
        <v>410</v>
      </c>
      <c r="AL171" t="s">
        <v>409</v>
      </c>
      <c r="AM171">
        <v>0</v>
      </c>
      <c r="AN171">
        <v>0</v>
      </c>
      <c r="AO171">
        <v>5</v>
      </c>
      <c r="AP171">
        <v>1</v>
      </c>
      <c r="AQ171">
        <v>7.4999999999999997E-2</v>
      </c>
      <c r="AS171">
        <v>0.15</v>
      </c>
      <c r="AU171">
        <v>0.88</v>
      </c>
      <c r="AV171">
        <v>1.1299999999999999</v>
      </c>
      <c r="AW171">
        <v>0.4</v>
      </c>
      <c r="AX171">
        <v>0.12</v>
      </c>
      <c r="AY171">
        <v>0.35</v>
      </c>
      <c r="BA171">
        <v>1</v>
      </c>
      <c r="BB171">
        <v>1.4999999999999999E-2</v>
      </c>
      <c r="BD171">
        <v>1.4999999999999999E-2</v>
      </c>
      <c r="BF171">
        <v>0.78</v>
      </c>
      <c r="BG171">
        <v>0.68</v>
      </c>
      <c r="BH171">
        <v>0.68</v>
      </c>
      <c r="BK171">
        <v>0.5</v>
      </c>
    </row>
    <row r="172" spans="1:63" x14ac:dyDescent="0.25">
      <c r="A172" t="s">
        <v>357</v>
      </c>
      <c r="B172" t="s">
        <v>167</v>
      </c>
      <c r="C172" t="s">
        <v>387</v>
      </c>
      <c r="D172" t="s">
        <v>409</v>
      </c>
      <c r="E172">
        <v>0</v>
      </c>
      <c r="F172">
        <v>0</v>
      </c>
      <c r="G172" t="s">
        <v>390</v>
      </c>
      <c r="H172" t="s">
        <v>384</v>
      </c>
      <c r="I172" t="s">
        <v>408</v>
      </c>
      <c r="J172" t="s">
        <v>386</v>
      </c>
      <c r="K172" s="2">
        <v>1000</v>
      </c>
      <c r="L172" t="s">
        <v>379</v>
      </c>
      <c r="M172">
        <v>0</v>
      </c>
      <c r="N172">
        <v>0</v>
      </c>
      <c r="O172">
        <v>0</v>
      </c>
      <c r="P172">
        <v>0</v>
      </c>
      <c r="Q172">
        <v>1</v>
      </c>
      <c r="R172">
        <v>1</v>
      </c>
      <c r="S172">
        <v>0</v>
      </c>
      <c r="T172">
        <v>37</v>
      </c>
      <c r="U172">
        <v>0</v>
      </c>
      <c r="V172">
        <v>0</v>
      </c>
      <c r="W172">
        <v>0</v>
      </c>
      <c r="X172">
        <v>0</v>
      </c>
      <c r="Y172" s="2">
        <v>50</v>
      </c>
      <c r="Z172" s="2">
        <v>50</v>
      </c>
      <c r="AA172">
        <v>0.1</v>
      </c>
      <c r="AB172" t="s">
        <v>374</v>
      </c>
      <c r="AC172">
        <v>0</v>
      </c>
      <c r="AD172">
        <v>0</v>
      </c>
      <c r="AE172">
        <v>0</v>
      </c>
      <c r="AF172">
        <v>0</v>
      </c>
      <c r="AG172">
        <v>-7</v>
      </c>
      <c r="AH172">
        <v>36</v>
      </c>
      <c r="AI172">
        <v>0</v>
      </c>
      <c r="AJ172">
        <v>0</v>
      </c>
      <c r="AK172" t="s">
        <v>410</v>
      </c>
      <c r="AL172" t="s">
        <v>409</v>
      </c>
      <c r="AM172">
        <v>0</v>
      </c>
      <c r="AN172">
        <v>0</v>
      </c>
      <c r="AO172">
        <v>5</v>
      </c>
      <c r="AP172">
        <v>1</v>
      </c>
      <c r="AQ172" s="2">
        <v>0.75</v>
      </c>
      <c r="AR172" s="2">
        <v>0.75</v>
      </c>
      <c r="AS172" s="2">
        <v>0.75</v>
      </c>
      <c r="AT172" s="2">
        <v>0.75</v>
      </c>
      <c r="AU172">
        <v>0.88</v>
      </c>
      <c r="AV172">
        <v>1.1299999999999999</v>
      </c>
      <c r="AW172">
        <v>0.4</v>
      </c>
      <c r="AX172">
        <v>0.12</v>
      </c>
      <c r="AY172">
        <v>0.35</v>
      </c>
      <c r="BA172">
        <v>1</v>
      </c>
      <c r="BB172">
        <v>1.4999999999999999E-2</v>
      </c>
      <c r="BC172" s="2">
        <v>1.4999999999999999E-2</v>
      </c>
      <c r="BD172">
        <v>1.4999999999999999E-2</v>
      </c>
      <c r="BE172" s="2">
        <v>1.4999999999999999E-2</v>
      </c>
      <c r="BF172">
        <v>0.78</v>
      </c>
      <c r="BG172">
        <v>0.68</v>
      </c>
      <c r="BH172">
        <v>0.68</v>
      </c>
      <c r="BK172">
        <v>0.5</v>
      </c>
    </row>
    <row r="173" spans="1:63" hidden="1" x14ac:dyDescent="0.25">
      <c r="A173" t="s">
        <v>358</v>
      </c>
      <c r="B173" t="s">
        <v>483</v>
      </c>
      <c r="C173" t="s">
        <v>387</v>
      </c>
      <c r="D173" t="s">
        <v>409</v>
      </c>
      <c r="E173">
        <v>0</v>
      </c>
      <c r="F173">
        <v>0</v>
      </c>
      <c r="G173" t="s">
        <v>390</v>
      </c>
      <c r="H173" t="s">
        <v>384</v>
      </c>
      <c r="I173" t="s">
        <v>408</v>
      </c>
      <c r="J173" t="s">
        <v>386</v>
      </c>
      <c r="K173">
        <v>1050</v>
      </c>
      <c r="L173" t="s">
        <v>379</v>
      </c>
      <c r="M173">
        <v>0</v>
      </c>
      <c r="N173">
        <v>0</v>
      </c>
      <c r="O173">
        <v>0</v>
      </c>
      <c r="P173">
        <v>0</v>
      </c>
      <c r="Q173">
        <v>1</v>
      </c>
      <c r="R173">
        <v>1</v>
      </c>
      <c r="S173">
        <v>0</v>
      </c>
      <c r="T173">
        <v>37</v>
      </c>
      <c r="U173">
        <v>0</v>
      </c>
      <c r="V173">
        <v>0</v>
      </c>
      <c r="W173">
        <v>0</v>
      </c>
      <c r="X173">
        <v>0</v>
      </c>
      <c r="Y173">
        <v>60</v>
      </c>
      <c r="Z173">
        <v>60</v>
      </c>
      <c r="AA173">
        <v>0.1</v>
      </c>
      <c r="AB173" t="s">
        <v>374</v>
      </c>
      <c r="AC173">
        <v>0</v>
      </c>
      <c r="AD173">
        <v>0</v>
      </c>
      <c r="AE173">
        <v>0</v>
      </c>
      <c r="AF173">
        <v>0</v>
      </c>
      <c r="AG173">
        <v>-36</v>
      </c>
      <c r="AH173">
        <v>7</v>
      </c>
      <c r="AI173">
        <v>0</v>
      </c>
      <c r="AJ173">
        <v>0</v>
      </c>
      <c r="AK173" t="s">
        <v>410</v>
      </c>
      <c r="AL173" t="s">
        <v>409</v>
      </c>
      <c r="AM173">
        <v>0</v>
      </c>
      <c r="AN173">
        <v>0</v>
      </c>
      <c r="AO173">
        <v>5</v>
      </c>
      <c r="AP173">
        <v>1</v>
      </c>
      <c r="AQ173">
        <v>7.4999999999999997E-2</v>
      </c>
      <c r="AS173">
        <v>0.15</v>
      </c>
      <c r="AU173">
        <v>0.88</v>
      </c>
      <c r="AV173">
        <v>1.1299999999999999</v>
      </c>
      <c r="AW173">
        <v>0.4</v>
      </c>
      <c r="AX173">
        <v>0.12</v>
      </c>
      <c r="AY173">
        <v>0.35</v>
      </c>
      <c r="BA173">
        <v>1</v>
      </c>
      <c r="BB173">
        <v>1.4999999999999999E-2</v>
      </c>
      <c r="BD173">
        <v>1.4999999999999999E-2</v>
      </c>
      <c r="BF173">
        <v>0.78</v>
      </c>
      <c r="BG173">
        <v>0.68</v>
      </c>
      <c r="BH173">
        <v>0.68</v>
      </c>
      <c r="BK173">
        <v>0.5</v>
      </c>
    </row>
    <row r="174" spans="1:63" x14ac:dyDescent="0.25">
      <c r="A174" t="s">
        <v>358</v>
      </c>
      <c r="B174" t="s">
        <v>167</v>
      </c>
      <c r="C174" t="s">
        <v>387</v>
      </c>
      <c r="D174" t="s">
        <v>409</v>
      </c>
      <c r="E174">
        <v>0</v>
      </c>
      <c r="F174">
        <v>0</v>
      </c>
      <c r="G174" t="s">
        <v>390</v>
      </c>
      <c r="H174" t="s">
        <v>384</v>
      </c>
      <c r="I174" t="s">
        <v>408</v>
      </c>
      <c r="J174" t="s">
        <v>386</v>
      </c>
      <c r="K174" s="2">
        <v>1000</v>
      </c>
      <c r="L174" t="s">
        <v>379</v>
      </c>
      <c r="M174">
        <v>0</v>
      </c>
      <c r="N174">
        <v>0</v>
      </c>
      <c r="O174">
        <v>0</v>
      </c>
      <c r="P174">
        <v>0</v>
      </c>
      <c r="Q174">
        <v>1</v>
      </c>
      <c r="R174">
        <v>1</v>
      </c>
      <c r="S174">
        <v>0</v>
      </c>
      <c r="T174">
        <v>37</v>
      </c>
      <c r="U174">
        <v>0</v>
      </c>
      <c r="V174">
        <v>0</v>
      </c>
      <c r="W174">
        <v>0</v>
      </c>
      <c r="X174">
        <v>0</v>
      </c>
      <c r="Y174" s="2">
        <v>50</v>
      </c>
      <c r="Z174" s="2">
        <v>50</v>
      </c>
      <c r="AA174">
        <v>0.1</v>
      </c>
      <c r="AB174" t="s">
        <v>374</v>
      </c>
      <c r="AC174">
        <v>0</v>
      </c>
      <c r="AD174">
        <v>0</v>
      </c>
      <c r="AE174">
        <v>0</v>
      </c>
      <c r="AF174">
        <v>0</v>
      </c>
      <c r="AG174">
        <v>-36</v>
      </c>
      <c r="AH174">
        <v>7</v>
      </c>
      <c r="AI174">
        <v>0</v>
      </c>
      <c r="AJ174">
        <v>0</v>
      </c>
      <c r="AK174" t="s">
        <v>410</v>
      </c>
      <c r="AL174" t="s">
        <v>409</v>
      </c>
      <c r="AM174">
        <v>0</v>
      </c>
      <c r="AN174">
        <v>0</v>
      </c>
      <c r="AO174">
        <v>5</v>
      </c>
      <c r="AP174">
        <v>1</v>
      </c>
      <c r="AQ174" s="2">
        <v>0.75</v>
      </c>
      <c r="AR174" s="2">
        <v>0.75</v>
      </c>
      <c r="AS174" s="2">
        <v>0.75</v>
      </c>
      <c r="AT174" s="2">
        <v>0.75</v>
      </c>
      <c r="AU174">
        <v>0.88</v>
      </c>
      <c r="AV174">
        <v>1.1299999999999999</v>
      </c>
      <c r="AW174">
        <v>0.4</v>
      </c>
      <c r="AX174">
        <v>0.12</v>
      </c>
      <c r="AY174">
        <v>0.35</v>
      </c>
      <c r="BA174">
        <v>1</v>
      </c>
      <c r="BB174">
        <v>1.4999999999999999E-2</v>
      </c>
      <c r="BC174" s="2">
        <v>1.4999999999999999E-2</v>
      </c>
      <c r="BD174">
        <v>1.4999999999999999E-2</v>
      </c>
      <c r="BE174" s="2">
        <v>1.4999999999999999E-2</v>
      </c>
      <c r="BF174">
        <v>0.78</v>
      </c>
      <c r="BG174">
        <v>0.68</v>
      </c>
      <c r="BH174">
        <v>0.68</v>
      </c>
      <c r="BK174">
        <v>0.5</v>
      </c>
    </row>
    <row r="175" spans="1:63" hidden="1" x14ac:dyDescent="0.25">
      <c r="A175" t="s">
        <v>359</v>
      </c>
      <c r="B175" t="s">
        <v>483</v>
      </c>
      <c r="C175" t="s">
        <v>387</v>
      </c>
      <c r="D175" t="s">
        <v>388</v>
      </c>
      <c r="E175" t="s">
        <v>516</v>
      </c>
      <c r="F175" t="s">
        <v>516</v>
      </c>
      <c r="G175" t="s">
        <v>396</v>
      </c>
      <c r="H175" t="s">
        <v>400</v>
      </c>
      <c r="I175" t="s">
        <v>401</v>
      </c>
      <c r="J175" t="s">
        <v>392</v>
      </c>
      <c r="K175">
        <v>0</v>
      </c>
      <c r="L175">
        <v>0</v>
      </c>
      <c r="M175">
        <v>33</v>
      </c>
      <c r="N175">
        <v>2</v>
      </c>
      <c r="O175">
        <v>0</v>
      </c>
      <c r="P175">
        <v>0</v>
      </c>
      <c r="Q175">
        <v>5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0.1</v>
      </c>
      <c r="AB175" t="s">
        <v>374</v>
      </c>
      <c r="AC175">
        <v>1</v>
      </c>
      <c r="AD175">
        <v>0</v>
      </c>
      <c r="AE175">
        <v>0</v>
      </c>
      <c r="AF175">
        <v>180</v>
      </c>
      <c r="AG175">
        <v>0</v>
      </c>
      <c r="AH175">
        <v>0</v>
      </c>
      <c r="AI175">
        <v>0</v>
      </c>
      <c r="AJ175">
        <v>0</v>
      </c>
      <c r="AO175">
        <v>5</v>
      </c>
      <c r="AP175">
        <v>1</v>
      </c>
      <c r="AQ175">
        <v>0.1</v>
      </c>
      <c r="AS175">
        <v>0.24</v>
      </c>
      <c r="AU175">
        <v>0.9</v>
      </c>
      <c r="AV175">
        <v>1.1299999999999999</v>
      </c>
      <c r="AW175">
        <v>0.4</v>
      </c>
      <c r="AX175">
        <v>0.12</v>
      </c>
      <c r="AY175">
        <v>0.4</v>
      </c>
    </row>
    <row r="176" spans="1:63" x14ac:dyDescent="0.25">
      <c r="A176" t="s">
        <v>359</v>
      </c>
      <c r="B176" t="s">
        <v>167</v>
      </c>
      <c r="C176" t="s">
        <v>387</v>
      </c>
      <c r="D176" t="s">
        <v>388</v>
      </c>
      <c r="E176" s="2">
        <v>62</v>
      </c>
      <c r="F176" s="2">
        <v>78</v>
      </c>
      <c r="G176" t="s">
        <v>396</v>
      </c>
      <c r="H176" t="s">
        <v>400</v>
      </c>
      <c r="I176" t="s">
        <v>401</v>
      </c>
      <c r="J176" t="s">
        <v>392</v>
      </c>
      <c r="K176">
        <v>0</v>
      </c>
      <c r="L176">
        <v>0</v>
      </c>
      <c r="M176" s="2">
        <v>40</v>
      </c>
      <c r="N176">
        <v>2</v>
      </c>
      <c r="O176">
        <v>0</v>
      </c>
      <c r="P176">
        <v>0</v>
      </c>
      <c r="Q176" s="2">
        <v>10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0.1</v>
      </c>
      <c r="AB176" t="s">
        <v>374</v>
      </c>
      <c r="AC176">
        <v>1</v>
      </c>
      <c r="AD176">
        <v>0</v>
      </c>
      <c r="AE176">
        <v>0</v>
      </c>
      <c r="AF176">
        <v>180</v>
      </c>
      <c r="AG176">
        <v>0</v>
      </c>
      <c r="AH176">
        <v>0</v>
      </c>
      <c r="AI176">
        <v>0</v>
      </c>
      <c r="AJ176">
        <v>0</v>
      </c>
      <c r="AO176">
        <v>5</v>
      </c>
      <c r="AP176">
        <v>1</v>
      </c>
      <c r="AQ176" s="2">
        <v>1</v>
      </c>
      <c r="AR176" s="2">
        <v>1</v>
      </c>
      <c r="AS176" s="2">
        <v>1</v>
      </c>
      <c r="AT176" s="2">
        <v>2</v>
      </c>
      <c r="AU176">
        <v>0.9</v>
      </c>
      <c r="AV176" s="2">
        <v>1</v>
      </c>
      <c r="AW176" s="2">
        <v>0.84</v>
      </c>
      <c r="AX176" s="2">
        <v>1</v>
      </c>
      <c r="AY176" s="2">
        <v>0.9</v>
      </c>
    </row>
    <row r="177" spans="1:64" hidden="1" x14ac:dyDescent="0.25">
      <c r="A177" t="s">
        <v>355</v>
      </c>
      <c r="B177" t="s">
        <v>483</v>
      </c>
      <c r="C177" t="s">
        <v>387</v>
      </c>
      <c r="D177" t="s">
        <v>388</v>
      </c>
      <c r="E177" t="s">
        <v>514</v>
      </c>
      <c r="F177" t="s">
        <v>515</v>
      </c>
      <c r="G177" t="s">
        <v>390</v>
      </c>
      <c r="H177" t="s">
        <v>384</v>
      </c>
      <c r="I177" t="s">
        <v>414</v>
      </c>
      <c r="J177" t="s">
        <v>392</v>
      </c>
      <c r="K177">
        <v>3500</v>
      </c>
      <c r="L177" t="s">
        <v>379</v>
      </c>
      <c r="M177">
        <v>0</v>
      </c>
      <c r="N177">
        <v>0</v>
      </c>
      <c r="O177">
        <v>0</v>
      </c>
      <c r="P177">
        <v>0</v>
      </c>
      <c r="Q177">
        <v>1</v>
      </c>
      <c r="R177">
        <v>1</v>
      </c>
      <c r="S177">
        <v>1</v>
      </c>
      <c r="T177" t="s">
        <v>501</v>
      </c>
      <c r="U177">
        <v>0</v>
      </c>
      <c r="V177">
        <v>0</v>
      </c>
      <c r="W177">
        <v>1</v>
      </c>
      <c r="X177">
        <v>0</v>
      </c>
      <c r="Y177">
        <v>60</v>
      </c>
      <c r="Z177">
        <v>60</v>
      </c>
      <c r="AA177">
        <v>0.1</v>
      </c>
      <c r="AB177" t="s">
        <v>374</v>
      </c>
      <c r="AC177">
        <v>1</v>
      </c>
      <c r="AD177">
        <v>0</v>
      </c>
      <c r="AE177">
        <v>0</v>
      </c>
      <c r="AF177">
        <v>0</v>
      </c>
      <c r="AG177">
        <v>-7</v>
      </c>
      <c r="AH177">
        <v>36</v>
      </c>
      <c r="AI177">
        <v>0</v>
      </c>
      <c r="AJ177">
        <v>0</v>
      </c>
      <c r="AO177">
        <v>5</v>
      </c>
      <c r="AP177">
        <v>1</v>
      </c>
      <c r="AQ177">
        <v>0.61</v>
      </c>
      <c r="AS177">
        <v>1.07</v>
      </c>
      <c r="AU177">
        <v>1.1399999999999999</v>
      </c>
      <c r="AV177">
        <v>1.18</v>
      </c>
      <c r="AX177">
        <v>0.7</v>
      </c>
      <c r="BA177">
        <v>1</v>
      </c>
      <c r="BB177">
        <v>0.11899999999999999</v>
      </c>
      <c r="BD177">
        <v>0.151</v>
      </c>
      <c r="BF177">
        <v>0.8</v>
      </c>
      <c r="BG177">
        <v>0.6</v>
      </c>
      <c r="BH177">
        <v>0.6</v>
      </c>
      <c r="BK177">
        <v>0.6</v>
      </c>
    </row>
    <row r="178" spans="1:64" x14ac:dyDescent="0.25">
      <c r="A178" t="s">
        <v>355</v>
      </c>
      <c r="B178" t="s">
        <v>167</v>
      </c>
      <c r="C178" t="s">
        <v>387</v>
      </c>
      <c r="D178" t="s">
        <v>388</v>
      </c>
      <c r="E178" s="2">
        <v>48</v>
      </c>
      <c r="F178" s="2">
        <v>52</v>
      </c>
      <c r="G178" t="s">
        <v>390</v>
      </c>
      <c r="H178" t="s">
        <v>384</v>
      </c>
      <c r="I178" t="s">
        <v>414</v>
      </c>
      <c r="J178" t="s">
        <v>392</v>
      </c>
      <c r="K178" s="2">
        <v>3300</v>
      </c>
      <c r="L178" s="2">
        <v>1500</v>
      </c>
      <c r="M178">
        <v>0</v>
      </c>
      <c r="N178">
        <v>0</v>
      </c>
      <c r="O178">
        <v>0</v>
      </c>
      <c r="P178">
        <v>0</v>
      </c>
      <c r="Q178">
        <v>1</v>
      </c>
      <c r="R178">
        <v>1</v>
      </c>
      <c r="S178">
        <v>1</v>
      </c>
      <c r="T178" s="2">
        <v>2</v>
      </c>
      <c r="U178">
        <v>0</v>
      </c>
      <c r="V178">
        <v>0</v>
      </c>
      <c r="W178">
        <v>1</v>
      </c>
      <c r="X178">
        <v>0</v>
      </c>
      <c r="Y178" s="2">
        <v>75</v>
      </c>
      <c r="Z178" s="2">
        <v>75</v>
      </c>
      <c r="AA178">
        <v>0.1</v>
      </c>
      <c r="AB178" t="s">
        <v>374</v>
      </c>
      <c r="AC178">
        <v>1</v>
      </c>
      <c r="AD178">
        <v>0</v>
      </c>
      <c r="AE178">
        <v>0</v>
      </c>
      <c r="AF178">
        <v>0</v>
      </c>
      <c r="AG178">
        <v>-7</v>
      </c>
      <c r="AH178">
        <v>36</v>
      </c>
      <c r="AI178">
        <v>0</v>
      </c>
      <c r="AJ178">
        <v>0</v>
      </c>
      <c r="AO178">
        <v>5</v>
      </c>
      <c r="AP178">
        <v>1</v>
      </c>
      <c r="AQ178" s="2">
        <v>0.4</v>
      </c>
      <c r="AR178" s="2">
        <v>0.8</v>
      </c>
      <c r="AS178" s="2">
        <v>1</v>
      </c>
      <c r="AT178" s="2">
        <v>2</v>
      </c>
      <c r="AU178" s="2">
        <v>1</v>
      </c>
      <c r="AV178" s="2">
        <v>0.7</v>
      </c>
      <c r="AW178" s="2">
        <v>1.5</v>
      </c>
      <c r="AX178" s="2">
        <v>0.85</v>
      </c>
      <c r="AY178" s="2">
        <v>0.625</v>
      </c>
      <c r="AZ178" s="2">
        <v>0.3</v>
      </c>
      <c r="BA178">
        <v>1</v>
      </c>
      <c r="BB178" s="2">
        <v>0.152</v>
      </c>
      <c r="BC178" s="2">
        <v>0.25</v>
      </c>
      <c r="BD178" s="2">
        <v>0.22</v>
      </c>
      <c r="BE178" s="2">
        <v>0.44</v>
      </c>
      <c r="BF178">
        <v>0.8</v>
      </c>
      <c r="BG178" s="2">
        <v>0.9</v>
      </c>
      <c r="BH178" s="2">
        <v>0.9</v>
      </c>
      <c r="BK178">
        <v>0.6</v>
      </c>
    </row>
    <row r="179" spans="1:64" hidden="1" x14ac:dyDescent="0.25">
      <c r="A179" t="s">
        <v>356</v>
      </c>
      <c r="B179" t="s">
        <v>483</v>
      </c>
      <c r="C179" t="s">
        <v>387</v>
      </c>
      <c r="D179" t="s">
        <v>388</v>
      </c>
      <c r="E179" t="s">
        <v>514</v>
      </c>
      <c r="F179" t="s">
        <v>515</v>
      </c>
      <c r="G179" t="s">
        <v>390</v>
      </c>
      <c r="H179" t="s">
        <v>384</v>
      </c>
      <c r="I179" t="s">
        <v>414</v>
      </c>
      <c r="J179" t="s">
        <v>392</v>
      </c>
      <c r="K179">
        <v>3500</v>
      </c>
      <c r="L179" t="s">
        <v>379</v>
      </c>
      <c r="M179">
        <v>0</v>
      </c>
      <c r="N179">
        <v>0</v>
      </c>
      <c r="O179">
        <v>0</v>
      </c>
      <c r="P179">
        <v>0</v>
      </c>
      <c r="Q179">
        <v>1</v>
      </c>
      <c r="R179">
        <v>1</v>
      </c>
      <c r="S179">
        <v>1</v>
      </c>
      <c r="T179" t="s">
        <v>501</v>
      </c>
      <c r="U179">
        <v>0</v>
      </c>
      <c r="V179">
        <v>0</v>
      </c>
      <c r="W179">
        <v>1</v>
      </c>
      <c r="X179">
        <v>0</v>
      </c>
      <c r="Y179">
        <v>60</v>
      </c>
      <c r="Z179">
        <v>60</v>
      </c>
      <c r="AA179">
        <v>0.1</v>
      </c>
      <c r="AB179" t="s">
        <v>374</v>
      </c>
      <c r="AC179">
        <v>1</v>
      </c>
      <c r="AD179">
        <v>0</v>
      </c>
      <c r="AE179">
        <v>0</v>
      </c>
      <c r="AF179">
        <v>0</v>
      </c>
      <c r="AG179">
        <v>-36</v>
      </c>
      <c r="AH179">
        <v>7</v>
      </c>
      <c r="AI179">
        <v>0</v>
      </c>
      <c r="AJ179">
        <v>0</v>
      </c>
      <c r="AO179">
        <v>5</v>
      </c>
      <c r="AP179">
        <v>1</v>
      </c>
      <c r="AQ179">
        <v>0.61</v>
      </c>
      <c r="AS179">
        <v>1.07</v>
      </c>
      <c r="AU179">
        <v>1.1399999999999999</v>
      </c>
      <c r="AV179">
        <v>1.18</v>
      </c>
      <c r="AX179">
        <v>0.7</v>
      </c>
      <c r="BA179">
        <v>1</v>
      </c>
      <c r="BB179">
        <v>0.11899999999999999</v>
      </c>
      <c r="BD179">
        <v>0.151</v>
      </c>
      <c r="BF179">
        <v>0.8</v>
      </c>
      <c r="BG179">
        <v>0.6</v>
      </c>
      <c r="BH179">
        <v>0.6</v>
      </c>
      <c r="BK179">
        <v>0.6</v>
      </c>
    </row>
    <row r="180" spans="1:64" x14ac:dyDescent="0.25">
      <c r="A180" t="s">
        <v>356</v>
      </c>
      <c r="B180" t="s">
        <v>167</v>
      </c>
      <c r="C180" t="s">
        <v>387</v>
      </c>
      <c r="D180" t="s">
        <v>388</v>
      </c>
      <c r="E180" s="2">
        <v>48</v>
      </c>
      <c r="F180" s="2">
        <v>52</v>
      </c>
      <c r="G180" t="s">
        <v>390</v>
      </c>
      <c r="H180" t="s">
        <v>384</v>
      </c>
      <c r="I180" t="s">
        <v>414</v>
      </c>
      <c r="J180" t="s">
        <v>392</v>
      </c>
      <c r="K180" s="2">
        <v>3300</v>
      </c>
      <c r="L180" s="2">
        <v>1500</v>
      </c>
      <c r="M180">
        <v>0</v>
      </c>
      <c r="N180">
        <v>0</v>
      </c>
      <c r="O180">
        <v>0</v>
      </c>
      <c r="P180">
        <v>0</v>
      </c>
      <c r="Q180">
        <v>1</v>
      </c>
      <c r="R180">
        <v>1</v>
      </c>
      <c r="S180">
        <v>1</v>
      </c>
      <c r="T180" s="2">
        <v>2</v>
      </c>
      <c r="U180">
        <v>0</v>
      </c>
      <c r="V180">
        <v>0</v>
      </c>
      <c r="W180">
        <v>1</v>
      </c>
      <c r="X180">
        <v>0</v>
      </c>
      <c r="Y180" s="2">
        <v>95</v>
      </c>
      <c r="Z180" s="2">
        <v>95</v>
      </c>
      <c r="AA180">
        <v>0.1</v>
      </c>
      <c r="AB180" t="s">
        <v>374</v>
      </c>
      <c r="AC180">
        <v>1</v>
      </c>
      <c r="AD180">
        <v>0</v>
      </c>
      <c r="AE180">
        <v>0</v>
      </c>
      <c r="AF180">
        <v>0</v>
      </c>
      <c r="AG180">
        <v>-36</v>
      </c>
      <c r="AH180">
        <v>7</v>
      </c>
      <c r="AI180">
        <v>0</v>
      </c>
      <c r="AJ180">
        <v>0</v>
      </c>
      <c r="AO180">
        <v>5</v>
      </c>
      <c r="AP180">
        <v>1</v>
      </c>
      <c r="AQ180" s="2">
        <v>0.4</v>
      </c>
      <c r="AR180" s="2">
        <v>0.8</v>
      </c>
      <c r="AS180" s="2">
        <v>1</v>
      </c>
      <c r="AT180" s="2">
        <v>2</v>
      </c>
      <c r="AU180" s="2">
        <v>1</v>
      </c>
      <c r="AV180" s="2">
        <v>0.7</v>
      </c>
      <c r="AW180" s="2">
        <v>1.5</v>
      </c>
      <c r="AX180" s="2">
        <v>0.85</v>
      </c>
      <c r="AY180" s="2">
        <v>0.625</v>
      </c>
      <c r="AZ180" s="2">
        <v>0.3</v>
      </c>
      <c r="BA180">
        <v>1</v>
      </c>
      <c r="BB180" s="2">
        <v>0.152</v>
      </c>
      <c r="BC180" s="2">
        <v>0.25</v>
      </c>
      <c r="BD180" s="2">
        <v>0.22</v>
      </c>
      <c r="BE180" s="2">
        <v>0.44</v>
      </c>
      <c r="BF180">
        <v>0.8</v>
      </c>
      <c r="BG180" s="2">
        <v>0.9</v>
      </c>
      <c r="BH180" s="2">
        <v>0.9</v>
      </c>
      <c r="BK180">
        <v>0.6</v>
      </c>
    </row>
    <row r="181" spans="1:64" hidden="1" x14ac:dyDescent="0.25">
      <c r="A181" t="s">
        <v>360</v>
      </c>
      <c r="B181" t="s">
        <v>483</v>
      </c>
      <c r="C181" t="s">
        <v>387</v>
      </c>
      <c r="D181" t="s">
        <v>388</v>
      </c>
      <c r="E181" t="s">
        <v>504</v>
      </c>
      <c r="F181" t="s">
        <v>504</v>
      </c>
      <c r="G181" t="s">
        <v>383</v>
      </c>
      <c r="H181" t="s">
        <v>393</v>
      </c>
      <c r="I181" t="s">
        <v>403</v>
      </c>
      <c r="J181" t="s">
        <v>392</v>
      </c>
      <c r="K181">
        <v>0</v>
      </c>
      <c r="L181">
        <v>4000</v>
      </c>
      <c r="M181">
        <v>0</v>
      </c>
      <c r="N181">
        <v>4</v>
      </c>
      <c r="O181">
        <v>2</v>
      </c>
      <c r="P181">
        <v>0</v>
      </c>
      <c r="Q181">
        <v>20</v>
      </c>
      <c r="R181">
        <v>0</v>
      </c>
      <c r="S181">
        <v>1</v>
      </c>
      <c r="T181">
        <v>7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0.1</v>
      </c>
      <c r="AB181" t="s">
        <v>374</v>
      </c>
      <c r="AC181">
        <v>0</v>
      </c>
      <c r="AD181">
        <v>0</v>
      </c>
      <c r="AE181">
        <v>1000</v>
      </c>
      <c r="AF181">
        <v>4</v>
      </c>
      <c r="AG181">
        <v>0</v>
      </c>
      <c r="AH181">
        <v>0</v>
      </c>
      <c r="AI181">
        <v>0</v>
      </c>
      <c r="AJ181">
        <v>0</v>
      </c>
      <c r="AK181" t="s">
        <v>387</v>
      </c>
      <c r="AL181" t="s">
        <v>395</v>
      </c>
      <c r="AM181">
        <v>-95</v>
      </c>
      <c r="AN181">
        <v>-95</v>
      </c>
      <c r="AO181">
        <v>30</v>
      </c>
      <c r="AP181">
        <v>1</v>
      </c>
      <c r="AX181">
        <v>0.2</v>
      </c>
      <c r="AY181">
        <v>0.3</v>
      </c>
      <c r="BA181">
        <v>1</v>
      </c>
      <c r="BB181">
        <v>0.1</v>
      </c>
      <c r="BD181">
        <v>0.08</v>
      </c>
    </row>
    <row r="182" spans="1:64" x14ac:dyDescent="0.25">
      <c r="A182" t="s">
        <v>360</v>
      </c>
      <c r="B182" t="s">
        <v>167</v>
      </c>
      <c r="C182" t="s">
        <v>387</v>
      </c>
      <c r="D182" t="s">
        <v>388</v>
      </c>
      <c r="E182" s="2">
        <v>2600</v>
      </c>
      <c r="F182" s="2">
        <v>2600</v>
      </c>
      <c r="G182" t="s">
        <v>383</v>
      </c>
      <c r="H182" t="s">
        <v>393</v>
      </c>
      <c r="I182" t="s">
        <v>403</v>
      </c>
      <c r="J182" t="s">
        <v>392</v>
      </c>
      <c r="K182">
        <v>0</v>
      </c>
      <c r="L182" s="2">
        <v>4250</v>
      </c>
      <c r="M182">
        <v>0</v>
      </c>
      <c r="N182">
        <v>4</v>
      </c>
      <c r="O182">
        <v>2</v>
      </c>
      <c r="P182">
        <v>0</v>
      </c>
      <c r="Q182">
        <v>20</v>
      </c>
      <c r="R182">
        <v>0</v>
      </c>
      <c r="S182">
        <v>1</v>
      </c>
      <c r="T182">
        <v>7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0.1</v>
      </c>
      <c r="AB182" t="s">
        <v>374</v>
      </c>
      <c r="AC182">
        <v>0</v>
      </c>
      <c r="AD182">
        <v>0</v>
      </c>
      <c r="AE182">
        <v>1000</v>
      </c>
      <c r="AF182" s="2">
        <v>6</v>
      </c>
      <c r="AG182">
        <v>0</v>
      </c>
      <c r="AH182">
        <v>0</v>
      </c>
      <c r="AI182">
        <v>0</v>
      </c>
      <c r="AJ182">
        <v>0</v>
      </c>
      <c r="AK182" t="s">
        <v>387</v>
      </c>
      <c r="AL182" t="s">
        <v>395</v>
      </c>
      <c r="AM182" s="2">
        <v>-125</v>
      </c>
      <c r="AN182" s="2">
        <v>-125</v>
      </c>
      <c r="AO182" s="2">
        <v>35</v>
      </c>
      <c r="AP182">
        <v>1</v>
      </c>
      <c r="AU182" s="2">
        <v>1.1200000000000001</v>
      </c>
      <c r="AV182" s="2">
        <v>1.1200000000000001</v>
      </c>
      <c r="AW182" s="2">
        <v>0.73</v>
      </c>
      <c r="AX182">
        <v>0.2</v>
      </c>
      <c r="AY182" s="2">
        <v>0.35</v>
      </c>
      <c r="BA182">
        <v>1</v>
      </c>
      <c r="BB182">
        <v>0.1</v>
      </c>
      <c r="BC182" s="2">
        <v>0.1</v>
      </c>
      <c r="BD182" s="2" t="s">
        <v>521</v>
      </c>
      <c r="BE182" s="2" t="s">
        <v>521</v>
      </c>
      <c r="BF182" s="2">
        <v>1</v>
      </c>
      <c r="BL182" s="2">
        <v>1</v>
      </c>
    </row>
    <row r="183" spans="1:64" hidden="1" x14ac:dyDescent="0.25">
      <c r="A183" t="s">
        <v>361</v>
      </c>
      <c r="B183" t="s">
        <v>483</v>
      </c>
      <c r="C183" t="s">
        <v>387</v>
      </c>
      <c r="D183" t="s">
        <v>388</v>
      </c>
      <c r="E183" t="s">
        <v>517</v>
      </c>
      <c r="F183" t="s">
        <v>518</v>
      </c>
      <c r="G183" t="s">
        <v>390</v>
      </c>
      <c r="H183" t="s">
        <v>384</v>
      </c>
      <c r="I183" t="s">
        <v>414</v>
      </c>
      <c r="J183" t="s">
        <v>392</v>
      </c>
      <c r="K183">
        <v>3500</v>
      </c>
      <c r="L183" t="s">
        <v>379</v>
      </c>
      <c r="M183">
        <v>0</v>
      </c>
      <c r="N183">
        <v>0</v>
      </c>
      <c r="O183">
        <v>0</v>
      </c>
      <c r="P183">
        <v>0</v>
      </c>
      <c r="Q183">
        <v>1</v>
      </c>
      <c r="R183">
        <v>1</v>
      </c>
      <c r="S183">
        <v>1</v>
      </c>
      <c r="T183" t="s">
        <v>505</v>
      </c>
      <c r="U183">
        <v>0</v>
      </c>
      <c r="V183">
        <v>0</v>
      </c>
      <c r="W183">
        <v>1</v>
      </c>
      <c r="X183">
        <v>0</v>
      </c>
      <c r="Y183">
        <v>95</v>
      </c>
      <c r="Z183">
        <v>95</v>
      </c>
      <c r="AA183">
        <v>0.1</v>
      </c>
      <c r="AB183" t="s">
        <v>374</v>
      </c>
      <c r="AC183">
        <v>1</v>
      </c>
      <c r="AD183">
        <v>0</v>
      </c>
      <c r="AE183">
        <v>0</v>
      </c>
      <c r="AF183">
        <v>0</v>
      </c>
      <c r="AG183">
        <v>-34</v>
      </c>
      <c r="AH183">
        <v>34</v>
      </c>
      <c r="AI183">
        <v>-34</v>
      </c>
      <c r="AJ183">
        <v>34</v>
      </c>
      <c r="AO183">
        <v>5</v>
      </c>
      <c r="AP183">
        <v>1</v>
      </c>
      <c r="AQ183">
        <v>1.02</v>
      </c>
      <c r="AS183">
        <v>0.98</v>
      </c>
      <c r="AX183">
        <v>0.7</v>
      </c>
      <c r="BA183">
        <v>1</v>
      </c>
      <c r="BB183">
        <v>0.13489999999999999</v>
      </c>
      <c r="BD183">
        <v>0.14299999999999999</v>
      </c>
      <c r="BF183">
        <v>0.8</v>
      </c>
      <c r="BG183">
        <v>0.6</v>
      </c>
      <c r="BH183">
        <v>0.6</v>
      </c>
      <c r="BK183">
        <v>0.6</v>
      </c>
    </row>
    <row r="184" spans="1:64" x14ac:dyDescent="0.25">
      <c r="A184" t="s">
        <v>361</v>
      </c>
      <c r="B184" t="s">
        <v>167</v>
      </c>
      <c r="C184" t="s">
        <v>387</v>
      </c>
      <c r="D184" t="s">
        <v>388</v>
      </c>
      <c r="E184" s="2">
        <v>70</v>
      </c>
      <c r="F184" s="2">
        <v>70</v>
      </c>
      <c r="G184" t="s">
        <v>390</v>
      </c>
      <c r="H184" t="s">
        <v>384</v>
      </c>
      <c r="I184" t="s">
        <v>414</v>
      </c>
      <c r="J184" t="s">
        <v>392</v>
      </c>
      <c r="K184" s="2">
        <v>3350</v>
      </c>
      <c r="L184" s="2">
        <v>1750</v>
      </c>
      <c r="M184">
        <v>0</v>
      </c>
      <c r="N184">
        <v>0</v>
      </c>
      <c r="O184">
        <v>0</v>
      </c>
      <c r="P184">
        <v>0</v>
      </c>
      <c r="Q184">
        <v>1</v>
      </c>
      <c r="R184">
        <v>1</v>
      </c>
      <c r="S184">
        <v>1</v>
      </c>
      <c r="T184" s="2">
        <v>3</v>
      </c>
      <c r="U184">
        <v>0</v>
      </c>
      <c r="V184">
        <v>0</v>
      </c>
      <c r="W184">
        <v>1</v>
      </c>
      <c r="X184">
        <v>0</v>
      </c>
      <c r="Y184" s="2">
        <v>65</v>
      </c>
      <c r="Z184" s="2">
        <v>65</v>
      </c>
      <c r="AA184">
        <v>0.1</v>
      </c>
      <c r="AB184" t="s">
        <v>374</v>
      </c>
      <c r="AC184">
        <v>1</v>
      </c>
      <c r="AD184">
        <v>0</v>
      </c>
      <c r="AE184">
        <v>0</v>
      </c>
      <c r="AF184">
        <v>0</v>
      </c>
      <c r="AG184">
        <v>-34</v>
      </c>
      <c r="AH184">
        <v>34</v>
      </c>
      <c r="AI184">
        <v>-34</v>
      </c>
      <c r="AJ184">
        <v>34</v>
      </c>
      <c r="AO184">
        <v>5</v>
      </c>
      <c r="AP184">
        <v>1</v>
      </c>
      <c r="AQ184" s="2">
        <v>1</v>
      </c>
      <c r="AR184" s="2">
        <v>2</v>
      </c>
      <c r="AS184" s="2">
        <v>0.5</v>
      </c>
      <c r="AT184" s="2">
        <v>1.4</v>
      </c>
      <c r="AU184" s="2">
        <v>0.8</v>
      </c>
      <c r="AV184" s="2">
        <v>1</v>
      </c>
      <c r="AW184" s="2">
        <v>1</v>
      </c>
      <c r="AX184">
        <v>0.7</v>
      </c>
      <c r="AZ184" s="2">
        <v>0.43</v>
      </c>
      <c r="BA184">
        <v>1</v>
      </c>
      <c r="BB184" s="2">
        <v>0.3</v>
      </c>
      <c r="BC184" s="2">
        <v>0.3</v>
      </c>
      <c r="BD184" s="2">
        <v>0.7</v>
      </c>
      <c r="BE184" s="2">
        <v>0.7</v>
      </c>
      <c r="BF184">
        <v>0.8</v>
      </c>
      <c r="BG184">
        <v>0.6</v>
      </c>
      <c r="BH184">
        <v>0.6</v>
      </c>
      <c r="BK184" s="2">
        <v>0.9</v>
      </c>
    </row>
    <row r="185" spans="1:64" hidden="1" x14ac:dyDescent="0.25">
      <c r="A185" t="s">
        <v>362</v>
      </c>
      <c r="B185" t="s">
        <v>483</v>
      </c>
      <c r="C185" t="s">
        <v>387</v>
      </c>
      <c r="D185" t="s">
        <v>388</v>
      </c>
      <c r="E185">
        <v>5500</v>
      </c>
      <c r="F185">
        <v>5500</v>
      </c>
      <c r="G185" t="s">
        <v>383</v>
      </c>
      <c r="H185" t="s">
        <v>411</v>
      </c>
      <c r="I185" t="s">
        <v>438</v>
      </c>
      <c r="J185" t="s">
        <v>413</v>
      </c>
      <c r="K185">
        <v>300</v>
      </c>
      <c r="L185">
        <v>1000</v>
      </c>
      <c r="M185">
        <v>0</v>
      </c>
      <c r="N185">
        <v>0</v>
      </c>
      <c r="O185">
        <v>0</v>
      </c>
      <c r="P185">
        <v>0</v>
      </c>
      <c r="Q185">
        <v>1</v>
      </c>
      <c r="R185">
        <v>0</v>
      </c>
      <c r="S185">
        <v>0</v>
      </c>
      <c r="T185">
        <v>0.5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0.1</v>
      </c>
      <c r="AB185" t="s">
        <v>374</v>
      </c>
      <c r="AC185">
        <v>0</v>
      </c>
      <c r="AD185">
        <v>0</v>
      </c>
      <c r="AE185">
        <v>0</v>
      </c>
      <c r="AF185">
        <v>179</v>
      </c>
      <c r="AG185">
        <v>0</v>
      </c>
      <c r="AH185">
        <v>0</v>
      </c>
      <c r="AI185">
        <v>0</v>
      </c>
      <c r="AJ185">
        <v>0</v>
      </c>
      <c r="AO185">
        <v>5</v>
      </c>
      <c r="AP185">
        <v>1</v>
      </c>
      <c r="AZ185">
        <v>0</v>
      </c>
      <c r="BA185">
        <v>1</v>
      </c>
      <c r="BB185">
        <v>0</v>
      </c>
      <c r="BD185">
        <v>0</v>
      </c>
    </row>
    <row r="186" spans="1:64" x14ac:dyDescent="0.25">
      <c r="A186" t="s">
        <v>362</v>
      </c>
      <c r="B186" t="s">
        <v>167</v>
      </c>
      <c r="C186" t="s">
        <v>387</v>
      </c>
      <c r="D186" t="s">
        <v>388</v>
      </c>
      <c r="E186">
        <v>5500</v>
      </c>
      <c r="F186">
        <v>5500</v>
      </c>
      <c r="G186" t="s">
        <v>383</v>
      </c>
      <c r="H186" t="s">
        <v>411</v>
      </c>
      <c r="I186" t="s">
        <v>438</v>
      </c>
      <c r="J186" t="s">
        <v>413</v>
      </c>
      <c r="K186">
        <v>300</v>
      </c>
      <c r="L186">
        <v>1000</v>
      </c>
      <c r="M186">
        <v>0</v>
      </c>
      <c r="N186">
        <v>0</v>
      </c>
      <c r="O186">
        <v>0</v>
      </c>
      <c r="P186">
        <v>0</v>
      </c>
      <c r="Q186">
        <v>1</v>
      </c>
      <c r="R186">
        <v>0</v>
      </c>
      <c r="S186">
        <v>0</v>
      </c>
      <c r="T186">
        <v>0.5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0.1</v>
      </c>
      <c r="AB186" t="s">
        <v>374</v>
      </c>
      <c r="AC186">
        <v>0</v>
      </c>
      <c r="AD186">
        <v>0</v>
      </c>
      <c r="AE186">
        <v>0</v>
      </c>
      <c r="AF186">
        <v>179</v>
      </c>
      <c r="AG186">
        <v>0</v>
      </c>
      <c r="AH186">
        <v>0</v>
      </c>
      <c r="AI186">
        <v>0</v>
      </c>
      <c r="AJ186">
        <v>0</v>
      </c>
      <c r="AO186">
        <v>5</v>
      </c>
      <c r="AP186">
        <v>1</v>
      </c>
      <c r="AZ186">
        <v>0</v>
      </c>
      <c r="BA186">
        <v>1</v>
      </c>
      <c r="BB186">
        <v>0</v>
      </c>
      <c r="BD186">
        <v>0</v>
      </c>
    </row>
    <row r="187" spans="1:64" hidden="1" x14ac:dyDescent="0.25">
      <c r="A187" t="s">
        <v>363</v>
      </c>
      <c r="B187" t="s">
        <v>483</v>
      </c>
      <c r="C187" t="s">
        <v>387</v>
      </c>
      <c r="D187" t="s">
        <v>388</v>
      </c>
      <c r="E187" t="s">
        <v>509</v>
      </c>
      <c r="F187" t="s">
        <v>509</v>
      </c>
      <c r="G187" t="s">
        <v>390</v>
      </c>
      <c r="H187" t="s">
        <v>384</v>
      </c>
      <c r="I187" t="s">
        <v>414</v>
      </c>
      <c r="J187" t="s">
        <v>392</v>
      </c>
      <c r="K187">
        <v>3500</v>
      </c>
      <c r="L187" t="s">
        <v>519</v>
      </c>
      <c r="M187">
        <v>0</v>
      </c>
      <c r="N187">
        <v>0</v>
      </c>
      <c r="O187">
        <v>0</v>
      </c>
      <c r="P187">
        <v>0</v>
      </c>
      <c r="Q187">
        <v>1</v>
      </c>
      <c r="R187">
        <v>1</v>
      </c>
      <c r="S187">
        <v>1</v>
      </c>
      <c r="T187" t="s">
        <v>508</v>
      </c>
      <c r="U187">
        <v>0</v>
      </c>
      <c r="V187">
        <v>0</v>
      </c>
      <c r="W187">
        <v>1</v>
      </c>
      <c r="X187">
        <v>0</v>
      </c>
      <c r="Y187">
        <v>85</v>
      </c>
      <c r="Z187">
        <v>85</v>
      </c>
      <c r="AA187">
        <v>0.1</v>
      </c>
      <c r="AB187" t="s">
        <v>374</v>
      </c>
      <c r="AC187">
        <v>1</v>
      </c>
      <c r="AD187">
        <v>0</v>
      </c>
      <c r="AE187">
        <v>0</v>
      </c>
      <c r="AF187">
        <v>0</v>
      </c>
      <c r="AG187">
        <v>-34</v>
      </c>
      <c r="AH187">
        <v>34</v>
      </c>
      <c r="AI187">
        <v>-18</v>
      </c>
      <c r="AJ187">
        <v>18</v>
      </c>
      <c r="AO187">
        <v>5</v>
      </c>
      <c r="AP187">
        <v>1</v>
      </c>
      <c r="AQ187">
        <v>1.04</v>
      </c>
      <c r="AS187">
        <v>0.77</v>
      </c>
      <c r="AX187">
        <v>0.8</v>
      </c>
      <c r="BA187">
        <v>1</v>
      </c>
      <c r="BB187">
        <v>0.14899999999999999</v>
      </c>
      <c r="BD187">
        <v>0.14199999999999999</v>
      </c>
      <c r="BF187">
        <v>0.8</v>
      </c>
      <c r="BG187">
        <v>0.6</v>
      </c>
      <c r="BH187">
        <v>0.6</v>
      </c>
      <c r="BK187">
        <v>0.6</v>
      </c>
    </row>
    <row r="188" spans="1:64" x14ac:dyDescent="0.25">
      <c r="A188" t="s">
        <v>363</v>
      </c>
      <c r="B188" t="s">
        <v>167</v>
      </c>
      <c r="C188" t="s">
        <v>387</v>
      </c>
      <c r="D188" t="s">
        <v>388</v>
      </c>
      <c r="E188" s="2">
        <v>27</v>
      </c>
      <c r="F188" s="2">
        <v>27</v>
      </c>
      <c r="G188" t="s">
        <v>390</v>
      </c>
      <c r="H188" t="s">
        <v>384</v>
      </c>
      <c r="I188" s="2" t="s">
        <v>429</v>
      </c>
      <c r="J188" t="s">
        <v>392</v>
      </c>
      <c r="K188">
        <v>3500</v>
      </c>
      <c r="L188" s="2">
        <v>1750</v>
      </c>
      <c r="M188">
        <v>0</v>
      </c>
      <c r="N188">
        <v>0</v>
      </c>
      <c r="O188">
        <v>0</v>
      </c>
      <c r="P188">
        <v>0</v>
      </c>
      <c r="Q188">
        <v>1</v>
      </c>
      <c r="R188">
        <v>1</v>
      </c>
      <c r="S188">
        <v>1</v>
      </c>
      <c r="T188" s="2">
        <v>1.7</v>
      </c>
      <c r="U188" s="2">
        <v>2</v>
      </c>
      <c r="V188" s="2">
        <v>1</v>
      </c>
      <c r="W188">
        <v>1</v>
      </c>
      <c r="X188">
        <v>0</v>
      </c>
      <c r="Y188" s="2">
        <v>109</v>
      </c>
      <c r="Z188" s="2">
        <v>109</v>
      </c>
      <c r="AA188">
        <v>0.1</v>
      </c>
      <c r="AB188" t="s">
        <v>374</v>
      </c>
      <c r="AC188">
        <v>1</v>
      </c>
      <c r="AD188">
        <v>0</v>
      </c>
      <c r="AE188">
        <v>0</v>
      </c>
      <c r="AF188" s="2">
        <v>10</v>
      </c>
      <c r="AG188">
        <v>-34</v>
      </c>
      <c r="AH188">
        <v>34</v>
      </c>
      <c r="AI188">
        <v>-18</v>
      </c>
      <c r="AJ188">
        <v>18</v>
      </c>
      <c r="AO188">
        <v>5</v>
      </c>
      <c r="AP188">
        <v>1</v>
      </c>
      <c r="AQ188" s="2">
        <v>1</v>
      </c>
      <c r="AR188" s="2">
        <v>2</v>
      </c>
      <c r="AS188" s="2">
        <v>1</v>
      </c>
      <c r="AT188" s="2">
        <v>2</v>
      </c>
      <c r="AU188" s="2">
        <v>0.9</v>
      </c>
      <c r="AV188" s="2">
        <v>0.8</v>
      </c>
      <c r="AX188">
        <v>0.8</v>
      </c>
      <c r="AZ188" s="2">
        <v>0.78400000000000003</v>
      </c>
      <c r="BA188">
        <v>1</v>
      </c>
      <c r="BB188" s="2">
        <v>0.3</v>
      </c>
      <c r="BC188" s="2">
        <v>0.6</v>
      </c>
      <c r="BD188" s="2">
        <v>0.62</v>
      </c>
      <c r="BE188" s="2">
        <v>0.69</v>
      </c>
      <c r="BF188" s="2">
        <v>0.6</v>
      </c>
      <c r="BG188">
        <v>0.6</v>
      </c>
      <c r="BH188">
        <v>0.6</v>
      </c>
      <c r="BK188">
        <v>0.6</v>
      </c>
    </row>
    <row r="189" spans="1:64" hidden="1" x14ac:dyDescent="0.25">
      <c r="A189" t="s">
        <v>364</v>
      </c>
      <c r="B189" t="s">
        <v>483</v>
      </c>
      <c r="C189" t="s">
        <v>387</v>
      </c>
      <c r="D189" t="s">
        <v>388</v>
      </c>
      <c r="E189" t="s">
        <v>509</v>
      </c>
      <c r="F189" t="s">
        <v>509</v>
      </c>
      <c r="G189" t="s">
        <v>390</v>
      </c>
      <c r="H189" t="s">
        <v>384</v>
      </c>
      <c r="I189" t="s">
        <v>414</v>
      </c>
      <c r="J189" t="s">
        <v>392</v>
      </c>
      <c r="K189">
        <v>3500</v>
      </c>
      <c r="L189" t="s">
        <v>519</v>
      </c>
      <c r="M189">
        <v>0</v>
      </c>
      <c r="N189">
        <v>0</v>
      </c>
      <c r="O189">
        <v>0</v>
      </c>
      <c r="P189">
        <v>0</v>
      </c>
      <c r="Q189">
        <v>1</v>
      </c>
      <c r="R189">
        <v>1</v>
      </c>
      <c r="S189">
        <v>1</v>
      </c>
      <c r="T189" t="s">
        <v>508</v>
      </c>
      <c r="U189">
        <v>0</v>
      </c>
      <c r="V189">
        <v>0</v>
      </c>
      <c r="W189">
        <v>1</v>
      </c>
      <c r="X189">
        <v>0</v>
      </c>
      <c r="Y189">
        <v>85</v>
      </c>
      <c r="Z189">
        <v>85</v>
      </c>
      <c r="AA189">
        <v>0.1</v>
      </c>
      <c r="AB189" t="s">
        <v>374</v>
      </c>
      <c r="AC189">
        <v>1</v>
      </c>
      <c r="AD189">
        <v>0</v>
      </c>
      <c r="AE189">
        <v>0</v>
      </c>
      <c r="AF189">
        <v>0</v>
      </c>
      <c r="AG189">
        <v>-22</v>
      </c>
      <c r="AH189">
        <v>22</v>
      </c>
      <c r="AI189">
        <v>-22</v>
      </c>
      <c r="AJ189">
        <v>22</v>
      </c>
      <c r="AO189">
        <v>5</v>
      </c>
      <c r="AP189">
        <v>1</v>
      </c>
      <c r="AQ189">
        <v>1.04</v>
      </c>
      <c r="AS189">
        <v>0.77</v>
      </c>
      <c r="AX189">
        <v>0.8</v>
      </c>
      <c r="BA189">
        <v>1</v>
      </c>
      <c r="BB189">
        <v>0.14899999999999999</v>
      </c>
      <c r="BD189">
        <v>0.14199999999999999</v>
      </c>
      <c r="BF189">
        <v>0.8</v>
      </c>
      <c r="BG189">
        <v>0.6</v>
      </c>
      <c r="BH189">
        <v>0.6</v>
      </c>
      <c r="BK189">
        <v>0.6</v>
      </c>
    </row>
    <row r="190" spans="1:64" x14ac:dyDescent="0.25">
      <c r="A190" t="s">
        <v>364</v>
      </c>
      <c r="B190" t="s">
        <v>167</v>
      </c>
      <c r="C190" t="s">
        <v>387</v>
      </c>
      <c r="D190" t="s">
        <v>388</v>
      </c>
      <c r="E190" s="2">
        <v>27</v>
      </c>
      <c r="F190" s="2">
        <v>27</v>
      </c>
      <c r="G190" t="s">
        <v>390</v>
      </c>
      <c r="H190" t="s">
        <v>384</v>
      </c>
      <c r="I190" s="2" t="s">
        <v>429</v>
      </c>
      <c r="J190" t="s">
        <v>392</v>
      </c>
      <c r="K190">
        <v>3500</v>
      </c>
      <c r="L190" s="2">
        <v>1750</v>
      </c>
      <c r="M190">
        <v>0</v>
      </c>
      <c r="N190">
        <v>0</v>
      </c>
      <c r="O190">
        <v>0</v>
      </c>
      <c r="P190">
        <v>0</v>
      </c>
      <c r="Q190">
        <v>1</v>
      </c>
      <c r="R190">
        <v>1</v>
      </c>
      <c r="S190">
        <v>1</v>
      </c>
      <c r="T190" s="2">
        <v>1.7</v>
      </c>
      <c r="U190" s="2">
        <v>2</v>
      </c>
      <c r="V190" s="2">
        <v>1</v>
      </c>
      <c r="W190">
        <v>1</v>
      </c>
      <c r="X190">
        <v>0</v>
      </c>
      <c r="Y190" s="2">
        <v>109</v>
      </c>
      <c r="Z190" s="2">
        <v>109</v>
      </c>
      <c r="AA190">
        <v>0.1</v>
      </c>
      <c r="AB190" t="s">
        <v>374</v>
      </c>
      <c r="AC190">
        <v>1</v>
      </c>
      <c r="AD190">
        <v>0</v>
      </c>
      <c r="AE190">
        <v>0</v>
      </c>
      <c r="AF190" s="2">
        <v>10</v>
      </c>
      <c r="AG190">
        <v>-22</v>
      </c>
      <c r="AH190">
        <v>22</v>
      </c>
      <c r="AI190">
        <v>-22</v>
      </c>
      <c r="AJ190">
        <v>22</v>
      </c>
      <c r="AO190">
        <v>5</v>
      </c>
      <c r="AP190">
        <v>1</v>
      </c>
      <c r="AQ190" s="2">
        <v>1</v>
      </c>
      <c r="AR190" s="2">
        <v>2</v>
      </c>
      <c r="AS190" s="2">
        <v>1</v>
      </c>
      <c r="AT190" s="2">
        <v>2</v>
      </c>
      <c r="AU190" s="2">
        <v>0.9</v>
      </c>
      <c r="AV190" s="2">
        <v>0.8</v>
      </c>
      <c r="AX190">
        <v>0.8</v>
      </c>
      <c r="AZ190" s="2">
        <v>0.78400000000000003</v>
      </c>
      <c r="BA190">
        <v>1</v>
      </c>
      <c r="BB190" s="2">
        <v>0.3</v>
      </c>
      <c r="BC190" s="2">
        <v>0.6</v>
      </c>
      <c r="BD190" s="2">
        <v>0.62</v>
      </c>
      <c r="BE190" s="2">
        <v>0.69</v>
      </c>
      <c r="BF190" s="2">
        <v>0.6</v>
      </c>
      <c r="BG190">
        <v>0.6</v>
      </c>
      <c r="BH190">
        <v>0.6</v>
      </c>
      <c r="BK190">
        <v>0.6</v>
      </c>
    </row>
    <row r="191" spans="1:64" hidden="1" x14ac:dyDescent="0.25">
      <c r="A191" t="s">
        <v>365</v>
      </c>
      <c r="B191" t="s">
        <v>483</v>
      </c>
      <c r="C191" t="s">
        <v>387</v>
      </c>
      <c r="D191" t="s">
        <v>388</v>
      </c>
      <c r="E191">
        <v>20</v>
      </c>
      <c r="F191">
        <v>20</v>
      </c>
      <c r="G191" t="s">
        <v>396</v>
      </c>
      <c r="H191" t="s">
        <v>384</v>
      </c>
      <c r="I191" t="s">
        <v>407</v>
      </c>
      <c r="J191" t="s">
        <v>392</v>
      </c>
      <c r="K191">
        <v>750</v>
      </c>
      <c r="L191">
        <v>1000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0</v>
      </c>
      <c r="T191">
        <v>1.4</v>
      </c>
      <c r="U191">
        <v>0</v>
      </c>
      <c r="V191">
        <v>0</v>
      </c>
      <c r="W191">
        <v>1</v>
      </c>
      <c r="X191">
        <v>0</v>
      </c>
      <c r="Y191">
        <v>0</v>
      </c>
      <c r="Z191">
        <v>0</v>
      </c>
      <c r="AA191">
        <v>0.1</v>
      </c>
      <c r="AB191" t="s">
        <v>374</v>
      </c>
      <c r="AC191">
        <v>0</v>
      </c>
      <c r="AD191">
        <v>0</v>
      </c>
      <c r="AE191">
        <v>0</v>
      </c>
      <c r="AF191">
        <v>60</v>
      </c>
      <c r="AG191">
        <v>0</v>
      </c>
      <c r="AH191">
        <v>0</v>
      </c>
      <c r="AI191">
        <v>0</v>
      </c>
      <c r="AJ191">
        <v>0</v>
      </c>
      <c r="AO191">
        <v>5</v>
      </c>
      <c r="AP191">
        <v>1</v>
      </c>
      <c r="AX191">
        <v>0.8</v>
      </c>
      <c r="BA191">
        <v>1</v>
      </c>
      <c r="BB191">
        <v>0.12</v>
      </c>
      <c r="BD191">
        <v>0.13</v>
      </c>
      <c r="BF191">
        <v>0.8</v>
      </c>
      <c r="BG191">
        <v>0.6</v>
      </c>
      <c r="BH191">
        <v>0.6</v>
      </c>
      <c r="BK191">
        <v>0.6</v>
      </c>
    </row>
    <row r="192" spans="1:64" x14ac:dyDescent="0.25">
      <c r="A192" t="s">
        <v>365</v>
      </c>
      <c r="B192" t="s">
        <v>167</v>
      </c>
      <c r="C192" t="s">
        <v>387</v>
      </c>
      <c r="D192" t="s">
        <v>388</v>
      </c>
      <c r="E192">
        <v>20</v>
      </c>
      <c r="F192">
        <v>20</v>
      </c>
      <c r="G192" s="2" t="s">
        <v>390</v>
      </c>
      <c r="H192" t="s">
        <v>384</v>
      </c>
      <c r="I192" s="2" t="s">
        <v>414</v>
      </c>
      <c r="J192" t="s">
        <v>392</v>
      </c>
      <c r="K192" s="2">
        <v>3350</v>
      </c>
      <c r="L192" s="2" t="s">
        <v>380</v>
      </c>
      <c r="M192">
        <v>0</v>
      </c>
      <c r="N192">
        <v>0</v>
      </c>
      <c r="O192">
        <v>0</v>
      </c>
      <c r="P192">
        <v>0</v>
      </c>
      <c r="Q192">
        <v>1</v>
      </c>
      <c r="R192">
        <v>1</v>
      </c>
      <c r="S192" s="2">
        <v>1</v>
      </c>
      <c r="T192" s="2">
        <v>0.8</v>
      </c>
      <c r="U192">
        <v>0</v>
      </c>
      <c r="V192">
        <v>0</v>
      </c>
      <c r="W192">
        <v>1</v>
      </c>
      <c r="X192">
        <v>0</v>
      </c>
      <c r="Y192" s="2">
        <v>65</v>
      </c>
      <c r="Z192" s="2">
        <v>65</v>
      </c>
      <c r="AA192">
        <v>0.1</v>
      </c>
      <c r="AB192" t="s">
        <v>374</v>
      </c>
      <c r="AC192" s="2">
        <v>1</v>
      </c>
      <c r="AD192">
        <v>0</v>
      </c>
      <c r="AE192">
        <v>0</v>
      </c>
      <c r="AF192">
        <v>60</v>
      </c>
      <c r="AG192">
        <v>0</v>
      </c>
      <c r="AH192">
        <v>0</v>
      </c>
      <c r="AI192">
        <v>0</v>
      </c>
      <c r="AJ192">
        <v>0</v>
      </c>
      <c r="AO192">
        <v>5</v>
      </c>
      <c r="AP192">
        <v>1</v>
      </c>
      <c r="AX192">
        <v>0.8</v>
      </c>
      <c r="BA192">
        <v>1</v>
      </c>
      <c r="BB192">
        <v>0.12</v>
      </c>
      <c r="BC192" s="2">
        <v>0.24</v>
      </c>
      <c r="BD192">
        <v>0.13</v>
      </c>
      <c r="BE192" s="2">
        <v>0.26</v>
      </c>
      <c r="BF192">
        <v>0.8</v>
      </c>
      <c r="BG192">
        <v>0.6</v>
      </c>
      <c r="BH192">
        <v>0.6</v>
      </c>
      <c r="BK192">
        <v>0.6</v>
      </c>
    </row>
    <row r="193" spans="1:64" hidden="1" x14ac:dyDescent="0.25">
      <c r="A193" t="s">
        <v>366</v>
      </c>
      <c r="B193" t="s">
        <v>483</v>
      </c>
      <c r="C193" t="s">
        <v>387</v>
      </c>
      <c r="D193" t="s">
        <v>388</v>
      </c>
      <c r="E193">
        <v>-9</v>
      </c>
      <c r="F193">
        <v>-9</v>
      </c>
      <c r="G193" t="s">
        <v>396</v>
      </c>
      <c r="H193" t="s">
        <v>393</v>
      </c>
      <c r="I193" t="s">
        <v>435</v>
      </c>
      <c r="J193" t="s">
        <v>392</v>
      </c>
      <c r="K193">
        <v>0</v>
      </c>
      <c r="L193">
        <v>850</v>
      </c>
      <c r="M193">
        <v>0</v>
      </c>
      <c r="N193">
        <v>5</v>
      </c>
      <c r="O193">
        <v>0</v>
      </c>
      <c r="P193">
        <v>0</v>
      </c>
      <c r="Q193">
        <v>1</v>
      </c>
      <c r="R193">
        <v>1</v>
      </c>
      <c r="S193">
        <v>0</v>
      </c>
      <c r="T193">
        <v>5</v>
      </c>
      <c r="U193">
        <v>5</v>
      </c>
      <c r="V193">
        <v>1</v>
      </c>
      <c r="W193">
        <v>1</v>
      </c>
      <c r="X193">
        <v>0</v>
      </c>
      <c r="Y193">
        <v>0</v>
      </c>
      <c r="Z193">
        <v>0</v>
      </c>
      <c r="AA193">
        <v>0.1</v>
      </c>
      <c r="AB193" t="s">
        <v>374</v>
      </c>
      <c r="AC193">
        <v>0</v>
      </c>
      <c r="AD193">
        <v>0</v>
      </c>
      <c r="AE193">
        <v>0</v>
      </c>
      <c r="AF193">
        <v>60</v>
      </c>
      <c r="AG193">
        <v>0</v>
      </c>
      <c r="AH193">
        <v>0</v>
      </c>
      <c r="AI193">
        <v>0</v>
      </c>
      <c r="AJ193">
        <v>0</v>
      </c>
      <c r="AO193">
        <v>5</v>
      </c>
      <c r="AP193">
        <v>1</v>
      </c>
      <c r="AX193">
        <v>0.8</v>
      </c>
      <c r="BA193">
        <v>1</v>
      </c>
    </row>
    <row r="194" spans="1:64" x14ac:dyDescent="0.25">
      <c r="A194" t="s">
        <v>366</v>
      </c>
      <c r="B194" t="s">
        <v>167</v>
      </c>
      <c r="C194" t="s">
        <v>387</v>
      </c>
      <c r="D194" t="s">
        <v>388</v>
      </c>
      <c r="E194" s="2" t="s">
        <v>476</v>
      </c>
      <c r="F194" s="2" t="s">
        <v>476</v>
      </c>
      <c r="G194" s="2" t="s">
        <v>390</v>
      </c>
      <c r="H194" t="s">
        <v>393</v>
      </c>
      <c r="I194" t="s">
        <v>435</v>
      </c>
      <c r="J194" t="s">
        <v>392</v>
      </c>
      <c r="K194">
        <v>0</v>
      </c>
      <c r="L194" s="2">
        <v>890</v>
      </c>
      <c r="M194">
        <v>0</v>
      </c>
      <c r="N194">
        <v>5</v>
      </c>
      <c r="O194">
        <v>0</v>
      </c>
      <c r="P194">
        <v>0</v>
      </c>
      <c r="Q194">
        <v>1</v>
      </c>
      <c r="R194">
        <v>1</v>
      </c>
      <c r="S194" s="2">
        <v>1</v>
      </c>
      <c r="T194">
        <v>5</v>
      </c>
      <c r="U194">
        <v>5</v>
      </c>
      <c r="V194">
        <v>1</v>
      </c>
      <c r="W194">
        <v>1</v>
      </c>
      <c r="X194">
        <v>0</v>
      </c>
      <c r="Y194" s="2">
        <v>45</v>
      </c>
      <c r="Z194" s="2">
        <v>45</v>
      </c>
      <c r="AA194">
        <v>0.1</v>
      </c>
      <c r="AB194" t="s">
        <v>374</v>
      </c>
      <c r="AC194" s="2">
        <v>1</v>
      </c>
      <c r="AD194">
        <v>0</v>
      </c>
      <c r="AE194">
        <v>0</v>
      </c>
      <c r="AF194" s="2">
        <v>80</v>
      </c>
      <c r="AG194">
        <v>0</v>
      </c>
      <c r="AH194">
        <v>0</v>
      </c>
      <c r="AI194">
        <v>0</v>
      </c>
      <c r="AJ194">
        <v>0</v>
      </c>
      <c r="AO194">
        <v>5</v>
      </c>
      <c r="AP194">
        <v>1</v>
      </c>
      <c r="AX194">
        <v>0.8</v>
      </c>
      <c r="BA194">
        <v>1</v>
      </c>
    </row>
    <row r="195" spans="1:64" hidden="1" x14ac:dyDescent="0.25">
      <c r="A195" t="s">
        <v>367</v>
      </c>
      <c r="B195" t="s">
        <v>483</v>
      </c>
      <c r="C195" t="s">
        <v>387</v>
      </c>
      <c r="D195" t="s">
        <v>388</v>
      </c>
      <c r="E195" t="s">
        <v>520</v>
      </c>
      <c r="F195" t="s">
        <v>520</v>
      </c>
      <c r="G195" t="s">
        <v>390</v>
      </c>
      <c r="H195" t="s">
        <v>384</v>
      </c>
      <c r="I195" t="s">
        <v>414</v>
      </c>
      <c r="J195" t="s">
        <v>392</v>
      </c>
      <c r="K195">
        <v>2000</v>
      </c>
      <c r="L195">
        <v>3450</v>
      </c>
      <c r="M195">
        <v>0</v>
      </c>
      <c r="N195">
        <v>0</v>
      </c>
      <c r="O195">
        <v>0</v>
      </c>
      <c r="P195">
        <v>0</v>
      </c>
      <c r="Q195">
        <v>1</v>
      </c>
      <c r="R195">
        <v>1</v>
      </c>
      <c r="S195">
        <v>1</v>
      </c>
      <c r="T195" t="s">
        <v>487</v>
      </c>
      <c r="U195">
        <v>0</v>
      </c>
      <c r="V195">
        <v>0</v>
      </c>
      <c r="W195">
        <v>1</v>
      </c>
      <c r="X195">
        <v>0</v>
      </c>
      <c r="Y195">
        <v>45</v>
      </c>
      <c r="Z195">
        <v>45</v>
      </c>
      <c r="AA195">
        <v>0.1</v>
      </c>
      <c r="AB195" t="s">
        <v>374</v>
      </c>
      <c r="AC195">
        <v>1</v>
      </c>
      <c r="AD195">
        <v>0</v>
      </c>
      <c r="AE195">
        <v>0</v>
      </c>
      <c r="AF195">
        <v>0</v>
      </c>
      <c r="AG195">
        <v>-15</v>
      </c>
      <c r="AH195">
        <v>150</v>
      </c>
      <c r="AI195">
        <v>-10</v>
      </c>
      <c r="AJ195">
        <v>30</v>
      </c>
      <c r="AO195">
        <v>5</v>
      </c>
      <c r="AP195">
        <v>1</v>
      </c>
      <c r="BA195">
        <v>1</v>
      </c>
      <c r="BB195">
        <v>0.25</v>
      </c>
      <c r="BD195">
        <v>0.18</v>
      </c>
      <c r="BF195">
        <v>0.8</v>
      </c>
      <c r="BG195">
        <v>0.6</v>
      </c>
      <c r="BH195">
        <v>0.6</v>
      </c>
      <c r="BK195">
        <v>0.6</v>
      </c>
    </row>
    <row r="196" spans="1:64" x14ac:dyDescent="0.25">
      <c r="A196" t="s">
        <v>367</v>
      </c>
      <c r="B196" t="s">
        <v>167</v>
      </c>
      <c r="C196" t="s">
        <v>387</v>
      </c>
      <c r="D196" t="s">
        <v>388</v>
      </c>
      <c r="E196" s="2">
        <v>70</v>
      </c>
      <c r="F196" s="2">
        <v>75</v>
      </c>
      <c r="G196" t="s">
        <v>390</v>
      </c>
      <c r="H196" t="s">
        <v>384</v>
      </c>
      <c r="I196" t="s">
        <v>414</v>
      </c>
      <c r="J196" t="s">
        <v>392</v>
      </c>
      <c r="K196" s="2">
        <v>2500</v>
      </c>
      <c r="L196">
        <v>3450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1</v>
      </c>
      <c r="S196">
        <v>1</v>
      </c>
      <c r="T196" s="2">
        <v>2.4</v>
      </c>
      <c r="U196">
        <v>0</v>
      </c>
      <c r="V196">
        <v>0</v>
      </c>
      <c r="W196">
        <v>1</v>
      </c>
      <c r="X196">
        <v>0</v>
      </c>
      <c r="Y196" s="2">
        <v>120</v>
      </c>
      <c r="Z196" s="2">
        <v>120</v>
      </c>
      <c r="AA196">
        <v>0.1</v>
      </c>
      <c r="AB196" t="s">
        <v>374</v>
      </c>
      <c r="AC196">
        <v>1</v>
      </c>
      <c r="AD196">
        <v>0</v>
      </c>
      <c r="AE196">
        <v>0</v>
      </c>
      <c r="AF196">
        <v>0</v>
      </c>
      <c r="AG196">
        <v>-15</v>
      </c>
      <c r="AH196">
        <v>150</v>
      </c>
      <c r="AI196">
        <v>-10</v>
      </c>
      <c r="AJ196">
        <v>30</v>
      </c>
      <c r="AO196">
        <v>5</v>
      </c>
      <c r="AP196">
        <v>1</v>
      </c>
      <c r="BA196">
        <v>1</v>
      </c>
      <c r="BB196">
        <v>0.25</v>
      </c>
      <c r="BC196" s="2">
        <v>0.5</v>
      </c>
      <c r="BD196">
        <v>0.18</v>
      </c>
      <c r="BE196" s="2">
        <v>0.36</v>
      </c>
      <c r="BF196">
        <v>0.8</v>
      </c>
      <c r="BG196">
        <v>0.6</v>
      </c>
      <c r="BH196">
        <v>0.6</v>
      </c>
      <c r="BK196">
        <v>0.6</v>
      </c>
    </row>
    <row r="197" spans="1:64" hidden="1" x14ac:dyDescent="0.25">
      <c r="A197" t="s">
        <v>368</v>
      </c>
      <c r="B197" t="s">
        <v>483</v>
      </c>
      <c r="C197" t="s">
        <v>387</v>
      </c>
      <c r="D197" t="s">
        <v>388</v>
      </c>
      <c r="E197">
        <v>-9</v>
      </c>
      <c r="F197">
        <v>-9</v>
      </c>
      <c r="G197" t="s">
        <v>390</v>
      </c>
      <c r="H197" t="s">
        <v>393</v>
      </c>
      <c r="I197" t="s">
        <v>435</v>
      </c>
      <c r="J197" t="s">
        <v>392</v>
      </c>
      <c r="K197">
        <v>0</v>
      </c>
      <c r="L197">
        <v>900</v>
      </c>
      <c r="M197">
        <v>0</v>
      </c>
      <c r="N197">
        <v>5</v>
      </c>
      <c r="O197">
        <v>0</v>
      </c>
      <c r="P197">
        <v>0</v>
      </c>
      <c r="Q197">
        <v>1</v>
      </c>
      <c r="R197">
        <v>1</v>
      </c>
      <c r="S197">
        <v>1</v>
      </c>
      <c r="T197">
        <v>5</v>
      </c>
      <c r="U197">
        <v>5</v>
      </c>
      <c r="V197">
        <v>1</v>
      </c>
      <c r="W197">
        <v>1</v>
      </c>
      <c r="X197">
        <v>0</v>
      </c>
      <c r="Y197">
        <v>45</v>
      </c>
      <c r="Z197">
        <v>45</v>
      </c>
      <c r="AA197">
        <v>0.1</v>
      </c>
      <c r="AB197" t="s">
        <v>374</v>
      </c>
      <c r="AC197">
        <v>1</v>
      </c>
      <c r="AD197">
        <v>0</v>
      </c>
      <c r="AE197">
        <v>0</v>
      </c>
      <c r="AF197">
        <v>0</v>
      </c>
      <c r="AG197">
        <v>-15</v>
      </c>
      <c r="AH197">
        <v>150</v>
      </c>
      <c r="AI197">
        <v>-10</v>
      </c>
      <c r="AJ197">
        <v>15</v>
      </c>
      <c r="AO197">
        <v>5</v>
      </c>
      <c r="AP197">
        <v>1</v>
      </c>
      <c r="BA197">
        <v>1</v>
      </c>
    </row>
    <row r="198" spans="1:64" x14ac:dyDescent="0.25">
      <c r="A198" t="s">
        <v>368</v>
      </c>
      <c r="B198" t="s">
        <v>167</v>
      </c>
      <c r="C198" t="s">
        <v>387</v>
      </c>
      <c r="D198" t="s">
        <v>388</v>
      </c>
      <c r="E198" s="2" t="s">
        <v>477</v>
      </c>
      <c r="F198" s="2" t="s">
        <v>477</v>
      </c>
      <c r="G198" t="s">
        <v>390</v>
      </c>
      <c r="H198" t="s">
        <v>393</v>
      </c>
      <c r="I198" t="s">
        <v>435</v>
      </c>
      <c r="J198" t="s">
        <v>392</v>
      </c>
      <c r="K198">
        <v>0</v>
      </c>
      <c r="L198" s="2">
        <v>850</v>
      </c>
      <c r="M198">
        <v>0</v>
      </c>
      <c r="N198">
        <v>5</v>
      </c>
      <c r="O198">
        <v>0</v>
      </c>
      <c r="P198">
        <v>0</v>
      </c>
      <c r="Q198">
        <v>1</v>
      </c>
      <c r="R198">
        <v>1</v>
      </c>
      <c r="S198">
        <v>1</v>
      </c>
      <c r="T198">
        <v>5</v>
      </c>
      <c r="U198">
        <v>5</v>
      </c>
      <c r="V198">
        <v>1</v>
      </c>
      <c r="W198">
        <v>1</v>
      </c>
      <c r="X198">
        <v>0</v>
      </c>
      <c r="Y198">
        <v>45</v>
      </c>
      <c r="Z198">
        <v>45</v>
      </c>
      <c r="AA198">
        <v>0.1</v>
      </c>
      <c r="AB198" t="s">
        <v>374</v>
      </c>
      <c r="AC198">
        <v>1</v>
      </c>
      <c r="AD198">
        <v>0</v>
      </c>
      <c r="AE198">
        <v>0</v>
      </c>
      <c r="AF198">
        <v>0</v>
      </c>
      <c r="AG198">
        <v>-15</v>
      </c>
      <c r="AH198">
        <v>150</v>
      </c>
      <c r="AI198">
        <v>-10</v>
      </c>
      <c r="AJ198">
        <v>15</v>
      </c>
      <c r="AO198">
        <v>5</v>
      </c>
      <c r="AP198">
        <v>1</v>
      </c>
      <c r="BA198">
        <v>1</v>
      </c>
    </row>
    <row r="199" spans="1:64" hidden="1" x14ac:dyDescent="0.25">
      <c r="A199" t="s">
        <v>369</v>
      </c>
      <c r="B199" t="s">
        <v>483</v>
      </c>
      <c r="C199" t="s">
        <v>387</v>
      </c>
      <c r="D199" t="s">
        <v>388</v>
      </c>
      <c r="E199" t="s">
        <v>520</v>
      </c>
      <c r="F199" t="s">
        <v>520</v>
      </c>
      <c r="G199" t="s">
        <v>390</v>
      </c>
      <c r="H199" t="s">
        <v>384</v>
      </c>
      <c r="I199" t="s">
        <v>414</v>
      </c>
      <c r="J199" t="s">
        <v>392</v>
      </c>
      <c r="K199">
        <v>2000</v>
      </c>
      <c r="L199">
        <v>3450</v>
      </c>
      <c r="M199">
        <v>0</v>
      </c>
      <c r="N199">
        <v>0</v>
      </c>
      <c r="O199">
        <v>0</v>
      </c>
      <c r="P199">
        <v>0</v>
      </c>
      <c r="Q199">
        <v>1</v>
      </c>
      <c r="R199">
        <v>1</v>
      </c>
      <c r="S199">
        <v>1</v>
      </c>
      <c r="T199" t="s">
        <v>487</v>
      </c>
      <c r="U199">
        <v>0</v>
      </c>
      <c r="V199">
        <v>0</v>
      </c>
      <c r="W199">
        <v>1</v>
      </c>
      <c r="X199">
        <v>0</v>
      </c>
      <c r="Y199">
        <v>45</v>
      </c>
      <c r="Z199">
        <v>45</v>
      </c>
      <c r="AA199">
        <v>0.1</v>
      </c>
      <c r="AB199" t="s">
        <v>374</v>
      </c>
      <c r="AC199">
        <v>1</v>
      </c>
      <c r="AD199">
        <v>0</v>
      </c>
      <c r="AE199">
        <v>0</v>
      </c>
      <c r="AF199">
        <v>0</v>
      </c>
      <c r="AG199">
        <v>-150</v>
      </c>
      <c r="AH199">
        <v>15</v>
      </c>
      <c r="AI199">
        <v>-10</v>
      </c>
      <c r="AJ199">
        <v>30</v>
      </c>
      <c r="AO199">
        <v>5</v>
      </c>
      <c r="AP199">
        <v>1</v>
      </c>
      <c r="BA199">
        <v>1</v>
      </c>
      <c r="BB199">
        <v>0.25</v>
      </c>
      <c r="BD199">
        <v>0.18</v>
      </c>
      <c r="BF199">
        <v>0.8</v>
      </c>
      <c r="BG199">
        <v>0.6</v>
      </c>
      <c r="BH199">
        <v>0.6</v>
      </c>
      <c r="BK199">
        <v>0.6</v>
      </c>
    </row>
    <row r="200" spans="1:64" x14ac:dyDescent="0.25">
      <c r="A200" t="s">
        <v>369</v>
      </c>
      <c r="B200" t="s">
        <v>167</v>
      </c>
      <c r="C200" t="s">
        <v>387</v>
      </c>
      <c r="D200" t="s">
        <v>388</v>
      </c>
      <c r="E200" s="2">
        <v>70</v>
      </c>
      <c r="F200" s="2">
        <v>75</v>
      </c>
      <c r="G200" t="s">
        <v>390</v>
      </c>
      <c r="H200" t="s">
        <v>384</v>
      </c>
      <c r="I200" t="s">
        <v>414</v>
      </c>
      <c r="J200" t="s">
        <v>392</v>
      </c>
      <c r="K200" s="2">
        <v>2500</v>
      </c>
      <c r="L200">
        <v>3450</v>
      </c>
      <c r="M200">
        <v>0</v>
      </c>
      <c r="N200">
        <v>0</v>
      </c>
      <c r="O200">
        <v>0</v>
      </c>
      <c r="P200">
        <v>0</v>
      </c>
      <c r="Q200">
        <v>1</v>
      </c>
      <c r="R200">
        <v>1</v>
      </c>
      <c r="S200">
        <v>1</v>
      </c>
      <c r="T200" s="2">
        <v>2.4</v>
      </c>
      <c r="U200">
        <v>0</v>
      </c>
      <c r="V200">
        <v>0</v>
      </c>
      <c r="W200">
        <v>1</v>
      </c>
      <c r="X200">
        <v>0</v>
      </c>
      <c r="Y200" s="2">
        <v>120</v>
      </c>
      <c r="Z200" s="2">
        <v>120</v>
      </c>
      <c r="AA200">
        <v>0.1</v>
      </c>
      <c r="AB200" t="s">
        <v>374</v>
      </c>
      <c r="AC200">
        <v>1</v>
      </c>
      <c r="AD200">
        <v>0</v>
      </c>
      <c r="AE200">
        <v>0</v>
      </c>
      <c r="AF200">
        <v>0</v>
      </c>
      <c r="AG200">
        <v>-150</v>
      </c>
      <c r="AH200">
        <v>15</v>
      </c>
      <c r="AI200">
        <v>-10</v>
      </c>
      <c r="AJ200">
        <v>30</v>
      </c>
      <c r="AO200">
        <v>5</v>
      </c>
      <c r="AP200">
        <v>1</v>
      </c>
      <c r="BA200">
        <v>1</v>
      </c>
      <c r="BB200">
        <v>0.25</v>
      </c>
      <c r="BC200" s="2">
        <v>0.5</v>
      </c>
      <c r="BD200">
        <v>0.18</v>
      </c>
      <c r="BE200" s="2">
        <v>0.36</v>
      </c>
      <c r="BF200">
        <v>0.8</v>
      </c>
      <c r="BG200">
        <v>0.6</v>
      </c>
      <c r="BH200">
        <v>0.6</v>
      </c>
      <c r="BK200">
        <v>0.6</v>
      </c>
    </row>
    <row r="201" spans="1:64" hidden="1" x14ac:dyDescent="0.25">
      <c r="A201" t="s">
        <v>370</v>
      </c>
      <c r="B201" t="s">
        <v>483</v>
      </c>
      <c r="C201" t="s">
        <v>387</v>
      </c>
      <c r="D201" t="s">
        <v>388</v>
      </c>
      <c r="E201">
        <v>-9</v>
      </c>
      <c r="F201">
        <v>-9</v>
      </c>
      <c r="G201" t="s">
        <v>390</v>
      </c>
      <c r="H201" t="s">
        <v>393</v>
      </c>
      <c r="I201" t="s">
        <v>435</v>
      </c>
      <c r="J201" t="s">
        <v>392</v>
      </c>
      <c r="K201">
        <v>0</v>
      </c>
      <c r="L201">
        <v>900</v>
      </c>
      <c r="M201">
        <v>0</v>
      </c>
      <c r="N201">
        <v>5</v>
      </c>
      <c r="O201">
        <v>0</v>
      </c>
      <c r="P201">
        <v>0</v>
      </c>
      <c r="Q201">
        <v>1</v>
      </c>
      <c r="R201">
        <v>1</v>
      </c>
      <c r="S201">
        <v>1</v>
      </c>
      <c r="T201">
        <v>5</v>
      </c>
      <c r="U201">
        <v>5</v>
      </c>
      <c r="V201">
        <v>1</v>
      </c>
      <c r="W201">
        <v>1</v>
      </c>
      <c r="X201">
        <v>0</v>
      </c>
      <c r="Y201">
        <v>45</v>
      </c>
      <c r="Z201">
        <v>45</v>
      </c>
      <c r="AA201">
        <v>0.1</v>
      </c>
      <c r="AB201" t="s">
        <v>374</v>
      </c>
      <c r="AC201">
        <v>1</v>
      </c>
      <c r="AD201">
        <v>0</v>
      </c>
      <c r="AE201">
        <v>0</v>
      </c>
      <c r="AF201">
        <v>0</v>
      </c>
      <c r="AG201">
        <v>-150</v>
      </c>
      <c r="AH201">
        <v>15</v>
      </c>
      <c r="AI201">
        <v>-10</v>
      </c>
      <c r="AJ201">
        <v>15</v>
      </c>
      <c r="AO201">
        <v>5</v>
      </c>
      <c r="AP201">
        <v>1</v>
      </c>
      <c r="BA201">
        <v>1</v>
      </c>
      <c r="BB201">
        <v>0.25</v>
      </c>
      <c r="BD201">
        <v>0.18</v>
      </c>
      <c r="BF201">
        <v>0.8</v>
      </c>
      <c r="BG201">
        <v>0.6</v>
      </c>
      <c r="BH201">
        <v>0.6</v>
      </c>
      <c r="BK201">
        <v>0.6</v>
      </c>
    </row>
    <row r="202" spans="1:64" x14ac:dyDescent="0.25">
      <c r="A202" t="s">
        <v>370</v>
      </c>
      <c r="B202" t="s">
        <v>167</v>
      </c>
      <c r="C202" t="s">
        <v>387</v>
      </c>
      <c r="D202" t="s">
        <v>388</v>
      </c>
      <c r="E202">
        <v>-9</v>
      </c>
      <c r="F202">
        <v>-9</v>
      </c>
      <c r="G202" t="s">
        <v>390</v>
      </c>
      <c r="H202" t="s">
        <v>393</v>
      </c>
      <c r="I202" t="s">
        <v>435</v>
      </c>
      <c r="J202" t="s">
        <v>392</v>
      </c>
      <c r="K202">
        <v>0</v>
      </c>
      <c r="L202">
        <v>900</v>
      </c>
      <c r="M202">
        <v>0</v>
      </c>
      <c r="N202">
        <v>5</v>
      </c>
      <c r="O202">
        <v>0</v>
      </c>
      <c r="P202">
        <v>0</v>
      </c>
      <c r="Q202">
        <v>1</v>
      </c>
      <c r="R202">
        <v>1</v>
      </c>
      <c r="S202">
        <v>1</v>
      </c>
      <c r="T202">
        <v>5</v>
      </c>
      <c r="U202">
        <v>5</v>
      </c>
      <c r="V202">
        <v>1</v>
      </c>
      <c r="W202">
        <v>1</v>
      </c>
      <c r="X202">
        <v>0</v>
      </c>
      <c r="Y202">
        <v>45</v>
      </c>
      <c r="Z202">
        <v>45</v>
      </c>
      <c r="AA202">
        <v>0.1</v>
      </c>
      <c r="AB202" t="s">
        <v>374</v>
      </c>
      <c r="AC202">
        <v>1</v>
      </c>
      <c r="AD202">
        <v>0</v>
      </c>
      <c r="AE202">
        <v>0</v>
      </c>
      <c r="AF202">
        <v>0</v>
      </c>
      <c r="AG202">
        <v>-150</v>
      </c>
      <c r="AH202">
        <v>15</v>
      </c>
      <c r="AI202">
        <v>-10</v>
      </c>
      <c r="AJ202">
        <v>15</v>
      </c>
      <c r="AO202">
        <v>5</v>
      </c>
      <c r="AP202">
        <v>1</v>
      </c>
      <c r="BA202">
        <v>1</v>
      </c>
      <c r="BB202">
        <v>0.25</v>
      </c>
      <c r="BD202">
        <v>0.18</v>
      </c>
      <c r="BF202">
        <v>0.8</v>
      </c>
      <c r="BG202">
        <v>0.6</v>
      </c>
      <c r="BH202">
        <v>0.6</v>
      </c>
      <c r="BK202">
        <v>0.6</v>
      </c>
    </row>
    <row r="203" spans="1:64" hidden="1" x14ac:dyDescent="0.25">
      <c r="A203" t="s">
        <v>271</v>
      </c>
      <c r="B203" t="s">
        <v>482</v>
      </c>
      <c r="C203" t="s">
        <v>387</v>
      </c>
      <c r="D203" t="s">
        <v>388</v>
      </c>
      <c r="E203">
        <v>110</v>
      </c>
      <c r="F203">
        <v>110</v>
      </c>
      <c r="G203" t="s">
        <v>383</v>
      </c>
      <c r="H203" t="s">
        <v>384</v>
      </c>
      <c r="I203" t="s">
        <v>385</v>
      </c>
      <c r="J203" t="s">
        <v>386</v>
      </c>
      <c r="K203">
        <v>1200</v>
      </c>
      <c r="L203">
        <v>1800</v>
      </c>
      <c r="M203">
        <v>0</v>
      </c>
      <c r="N203">
        <v>0</v>
      </c>
      <c r="O203">
        <v>0</v>
      </c>
      <c r="P203">
        <v>0</v>
      </c>
      <c r="Q203">
        <v>1</v>
      </c>
      <c r="R203">
        <v>1</v>
      </c>
      <c r="S203">
        <v>0</v>
      </c>
      <c r="T203">
        <v>2.5</v>
      </c>
      <c r="U203">
        <v>0</v>
      </c>
      <c r="V203">
        <v>0</v>
      </c>
      <c r="W203">
        <v>0</v>
      </c>
      <c r="X203">
        <v>0</v>
      </c>
      <c r="Y203">
        <v>260</v>
      </c>
      <c r="Z203">
        <v>40</v>
      </c>
      <c r="AA203">
        <v>0.1</v>
      </c>
      <c r="AB203" t="s">
        <v>451</v>
      </c>
      <c r="AC203">
        <v>0</v>
      </c>
      <c r="AD203">
        <v>0</v>
      </c>
      <c r="AE203">
        <v>0</v>
      </c>
      <c r="AF203">
        <v>20</v>
      </c>
      <c r="AG203">
        <v>0</v>
      </c>
      <c r="AH203">
        <v>0</v>
      </c>
      <c r="AI203">
        <v>0</v>
      </c>
      <c r="AJ203">
        <v>0</v>
      </c>
      <c r="AO203">
        <v>5</v>
      </c>
      <c r="AP203">
        <v>1</v>
      </c>
      <c r="AW203">
        <v>0.4</v>
      </c>
      <c r="AX203">
        <v>0.2</v>
      </c>
      <c r="AY203">
        <v>2.5</v>
      </c>
      <c r="BA203">
        <v>1</v>
      </c>
      <c r="BB203">
        <v>0.04</v>
      </c>
      <c r="BD203">
        <v>0.09</v>
      </c>
      <c r="BF203">
        <v>0.6</v>
      </c>
      <c r="BG203">
        <v>0.6</v>
      </c>
      <c r="BH203">
        <v>0.6</v>
      </c>
      <c r="BK203">
        <v>0.6</v>
      </c>
      <c r="BL203">
        <v>0</v>
      </c>
    </row>
    <row r="204" spans="1:64" x14ac:dyDescent="0.25">
      <c r="A204" t="s">
        <v>271</v>
      </c>
      <c r="B204" t="s">
        <v>167</v>
      </c>
      <c r="C204" t="s">
        <v>387</v>
      </c>
      <c r="D204" t="s">
        <v>388</v>
      </c>
      <c r="E204">
        <v>110</v>
      </c>
      <c r="F204">
        <v>110</v>
      </c>
      <c r="G204" t="s">
        <v>383</v>
      </c>
      <c r="H204" t="s">
        <v>384</v>
      </c>
      <c r="I204" t="s">
        <v>385</v>
      </c>
      <c r="J204" t="s">
        <v>386</v>
      </c>
      <c r="K204">
        <v>1200</v>
      </c>
      <c r="L204" s="2" t="s">
        <v>373</v>
      </c>
      <c r="M204">
        <v>0</v>
      </c>
      <c r="N204">
        <v>0</v>
      </c>
      <c r="O204">
        <v>0</v>
      </c>
      <c r="P204">
        <v>0</v>
      </c>
      <c r="Q204">
        <v>1</v>
      </c>
      <c r="R204">
        <v>1</v>
      </c>
      <c r="S204">
        <v>0</v>
      </c>
      <c r="T204">
        <v>2.5</v>
      </c>
      <c r="U204">
        <v>0</v>
      </c>
      <c r="V204">
        <v>0</v>
      </c>
      <c r="W204">
        <v>0</v>
      </c>
      <c r="X204">
        <v>0</v>
      </c>
      <c r="Y204">
        <v>260</v>
      </c>
      <c r="Z204">
        <v>40</v>
      </c>
      <c r="AA204">
        <v>0.1</v>
      </c>
      <c r="AB204" s="2" t="s">
        <v>374</v>
      </c>
      <c r="AC204">
        <v>0</v>
      </c>
      <c r="AD204">
        <v>0</v>
      </c>
      <c r="AE204">
        <v>0</v>
      </c>
      <c r="AF204">
        <v>20</v>
      </c>
      <c r="AG204">
        <v>0</v>
      </c>
      <c r="AH204">
        <v>0</v>
      </c>
      <c r="AI204">
        <v>0</v>
      </c>
      <c r="AJ204">
        <v>0</v>
      </c>
      <c r="AO204">
        <v>5</v>
      </c>
      <c r="AP204">
        <v>1</v>
      </c>
      <c r="AV204" s="2">
        <v>1.2</v>
      </c>
      <c r="AW204">
        <v>0.4</v>
      </c>
      <c r="AX204">
        <v>0.2</v>
      </c>
      <c r="AY204">
        <v>2.5</v>
      </c>
      <c r="BA204">
        <v>1</v>
      </c>
      <c r="BB204">
        <v>0.04</v>
      </c>
      <c r="BC204" s="2">
        <v>0.04</v>
      </c>
      <c r="BD204">
        <v>0.09</v>
      </c>
      <c r="BE204" s="2">
        <v>0.09</v>
      </c>
      <c r="BF204">
        <v>0.6</v>
      </c>
      <c r="BG204">
        <v>0.6</v>
      </c>
      <c r="BH204">
        <v>0.6</v>
      </c>
      <c r="BK204">
        <v>0.6</v>
      </c>
      <c r="BL204">
        <v>0</v>
      </c>
    </row>
    <row r="205" spans="1:64" hidden="1" x14ac:dyDescent="0.25">
      <c r="A205" t="s">
        <v>272</v>
      </c>
      <c r="B205" t="s">
        <v>482</v>
      </c>
      <c r="C205" t="s">
        <v>387</v>
      </c>
      <c r="D205" t="s">
        <v>388</v>
      </c>
      <c r="E205">
        <v>195</v>
      </c>
      <c r="F205">
        <v>195</v>
      </c>
      <c r="G205" t="s">
        <v>383</v>
      </c>
      <c r="H205" t="s">
        <v>384</v>
      </c>
      <c r="I205" t="s">
        <v>389</v>
      </c>
      <c r="J205" t="s">
        <v>386</v>
      </c>
      <c r="K205">
        <v>1200</v>
      </c>
      <c r="L205">
        <v>1800</v>
      </c>
      <c r="M205">
        <v>0</v>
      </c>
      <c r="N205">
        <v>0</v>
      </c>
      <c r="O205">
        <v>0</v>
      </c>
      <c r="P205">
        <v>0</v>
      </c>
      <c r="Q205">
        <v>1</v>
      </c>
      <c r="R205">
        <v>1</v>
      </c>
      <c r="S205">
        <v>0</v>
      </c>
      <c r="T205">
        <v>2.5</v>
      </c>
      <c r="U205">
        <v>0</v>
      </c>
      <c r="V205">
        <v>0</v>
      </c>
      <c r="W205">
        <v>0</v>
      </c>
      <c r="X205">
        <v>0</v>
      </c>
      <c r="Y205">
        <v>260</v>
      </c>
      <c r="Z205">
        <v>40</v>
      </c>
      <c r="AA205">
        <v>0.1</v>
      </c>
      <c r="AB205" t="s">
        <v>451</v>
      </c>
      <c r="AC205">
        <v>0</v>
      </c>
      <c r="AD205">
        <v>0</v>
      </c>
      <c r="AE205">
        <v>0</v>
      </c>
      <c r="AF205">
        <v>20</v>
      </c>
      <c r="AG205">
        <v>0</v>
      </c>
      <c r="AH205">
        <v>0</v>
      </c>
      <c r="AI205">
        <v>0</v>
      </c>
      <c r="AJ205">
        <v>0</v>
      </c>
      <c r="AO205">
        <v>5</v>
      </c>
      <c r="AP205">
        <v>1</v>
      </c>
      <c r="AW205">
        <v>0.4</v>
      </c>
      <c r="AX205">
        <v>0.2</v>
      </c>
      <c r="AY205">
        <v>2.5</v>
      </c>
      <c r="BA205">
        <v>0</v>
      </c>
      <c r="BL205">
        <v>1</v>
      </c>
    </row>
    <row r="206" spans="1:64" x14ac:dyDescent="0.25">
      <c r="A206" t="s">
        <v>272</v>
      </c>
      <c r="B206" t="s">
        <v>167</v>
      </c>
      <c r="C206" t="s">
        <v>387</v>
      </c>
      <c r="D206" t="s">
        <v>388</v>
      </c>
      <c r="E206">
        <v>195</v>
      </c>
      <c r="F206">
        <v>195</v>
      </c>
      <c r="G206" t="s">
        <v>383</v>
      </c>
      <c r="H206" t="s">
        <v>384</v>
      </c>
      <c r="I206" t="s">
        <v>389</v>
      </c>
      <c r="J206" t="s">
        <v>386</v>
      </c>
      <c r="K206">
        <v>1200</v>
      </c>
      <c r="L206" s="2" t="s">
        <v>373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1</v>
      </c>
      <c r="S206">
        <v>0</v>
      </c>
      <c r="T206">
        <v>2.5</v>
      </c>
      <c r="U206">
        <v>0</v>
      </c>
      <c r="V206">
        <v>0</v>
      </c>
      <c r="W206">
        <v>0</v>
      </c>
      <c r="X206">
        <v>0</v>
      </c>
      <c r="Y206">
        <v>260</v>
      </c>
      <c r="Z206">
        <v>40</v>
      </c>
      <c r="AA206">
        <v>0.1</v>
      </c>
      <c r="AB206" s="2" t="s">
        <v>374</v>
      </c>
      <c r="AC206">
        <v>0</v>
      </c>
      <c r="AD206">
        <v>0</v>
      </c>
      <c r="AE206">
        <v>0</v>
      </c>
      <c r="AF206">
        <v>20</v>
      </c>
      <c r="AG206">
        <v>0</v>
      </c>
      <c r="AH206">
        <v>0</v>
      </c>
      <c r="AI206">
        <v>0</v>
      </c>
      <c r="AJ206">
        <v>0</v>
      </c>
      <c r="AO206">
        <v>5</v>
      </c>
      <c r="AP206">
        <v>1</v>
      </c>
      <c r="AW206">
        <v>0.4</v>
      </c>
      <c r="AX206">
        <v>0.2</v>
      </c>
      <c r="AY206">
        <v>2.5</v>
      </c>
      <c r="BA206">
        <v>0</v>
      </c>
      <c r="BL206">
        <v>1</v>
      </c>
    </row>
    <row r="207" spans="1:64" hidden="1" x14ac:dyDescent="0.25">
      <c r="A207" t="s">
        <v>273</v>
      </c>
      <c r="B207" t="s">
        <v>482</v>
      </c>
      <c r="C207" t="s">
        <v>387</v>
      </c>
      <c r="D207" t="s">
        <v>388</v>
      </c>
      <c r="E207">
        <v>25</v>
      </c>
      <c r="F207">
        <v>25</v>
      </c>
      <c r="G207" t="s">
        <v>390</v>
      </c>
      <c r="H207" t="s">
        <v>384</v>
      </c>
      <c r="I207" t="s">
        <v>391</v>
      </c>
      <c r="J207" t="s">
        <v>392</v>
      </c>
      <c r="K207">
        <v>400</v>
      </c>
      <c r="L207">
        <v>3000</v>
      </c>
      <c r="M207">
        <v>0</v>
      </c>
      <c r="N207">
        <v>0</v>
      </c>
      <c r="O207">
        <v>0</v>
      </c>
      <c r="P207">
        <v>0</v>
      </c>
      <c r="Q207">
        <v>1</v>
      </c>
      <c r="R207">
        <v>1</v>
      </c>
      <c r="S207">
        <v>1</v>
      </c>
      <c r="T207">
        <v>1.6</v>
      </c>
      <c r="U207">
        <v>0</v>
      </c>
      <c r="V207">
        <v>0</v>
      </c>
      <c r="W207">
        <v>1</v>
      </c>
      <c r="X207">
        <v>0</v>
      </c>
      <c r="Y207">
        <v>40</v>
      </c>
      <c r="Z207">
        <v>25</v>
      </c>
      <c r="AA207">
        <v>0.1</v>
      </c>
      <c r="AB207" t="s">
        <v>451</v>
      </c>
      <c r="AC207">
        <v>1</v>
      </c>
      <c r="AD207">
        <v>0</v>
      </c>
      <c r="AE207">
        <v>0</v>
      </c>
      <c r="AF207">
        <v>0</v>
      </c>
      <c r="AG207">
        <v>-160</v>
      </c>
      <c r="AH207">
        <v>160</v>
      </c>
      <c r="AI207">
        <v>-10</v>
      </c>
      <c r="AJ207">
        <v>60</v>
      </c>
      <c r="AO207">
        <v>50</v>
      </c>
      <c r="AP207">
        <v>1</v>
      </c>
      <c r="BA207">
        <v>1</v>
      </c>
      <c r="BB207">
        <v>1E-3</v>
      </c>
      <c r="BD207">
        <v>5.0000000000000001E-4</v>
      </c>
    </row>
    <row r="208" spans="1:64" x14ac:dyDescent="0.25">
      <c r="A208" t="s">
        <v>273</v>
      </c>
      <c r="B208" t="s">
        <v>167</v>
      </c>
      <c r="C208" t="s">
        <v>387</v>
      </c>
      <c r="D208" t="s">
        <v>388</v>
      </c>
      <c r="E208">
        <v>25</v>
      </c>
      <c r="F208">
        <v>25</v>
      </c>
      <c r="G208" t="s">
        <v>390</v>
      </c>
      <c r="H208" t="s">
        <v>384</v>
      </c>
      <c r="I208" t="s">
        <v>391</v>
      </c>
      <c r="J208" t="s">
        <v>392</v>
      </c>
      <c r="K208">
        <v>400</v>
      </c>
      <c r="L208">
        <v>3000</v>
      </c>
      <c r="M208">
        <v>0</v>
      </c>
      <c r="N208">
        <v>0</v>
      </c>
      <c r="O208">
        <v>0</v>
      </c>
      <c r="P208">
        <v>0</v>
      </c>
      <c r="Q208">
        <v>1</v>
      </c>
      <c r="R208">
        <v>1</v>
      </c>
      <c r="S208">
        <v>1</v>
      </c>
      <c r="T208">
        <v>1.6</v>
      </c>
      <c r="U208">
        <v>0</v>
      </c>
      <c r="V208">
        <v>0</v>
      </c>
      <c r="W208">
        <v>1</v>
      </c>
      <c r="X208">
        <v>0</v>
      </c>
      <c r="Y208">
        <v>40</v>
      </c>
      <c r="Z208">
        <v>25</v>
      </c>
      <c r="AA208">
        <v>0.1</v>
      </c>
      <c r="AB208" s="2" t="s">
        <v>374</v>
      </c>
      <c r="AC208">
        <v>1</v>
      </c>
      <c r="AD208">
        <v>0</v>
      </c>
      <c r="AE208">
        <v>0</v>
      </c>
      <c r="AF208">
        <v>0</v>
      </c>
      <c r="AG208">
        <v>-160</v>
      </c>
      <c r="AH208">
        <v>160</v>
      </c>
      <c r="AI208">
        <v>-10</v>
      </c>
      <c r="AJ208">
        <v>60</v>
      </c>
      <c r="AO208">
        <v>50</v>
      </c>
      <c r="AP208">
        <v>1</v>
      </c>
      <c r="BA208">
        <v>1</v>
      </c>
      <c r="BB208">
        <v>1E-3</v>
      </c>
      <c r="BD208">
        <v>5.0000000000000001E-4</v>
      </c>
    </row>
    <row r="209" spans="1:63" hidden="1" x14ac:dyDescent="0.25">
      <c r="A209" t="s">
        <v>274</v>
      </c>
      <c r="B209" t="s">
        <v>482</v>
      </c>
      <c r="C209" t="s">
        <v>387</v>
      </c>
      <c r="D209" t="s">
        <v>388</v>
      </c>
      <c r="E209">
        <v>1400</v>
      </c>
      <c r="F209">
        <v>1400</v>
      </c>
      <c r="G209" t="s">
        <v>383</v>
      </c>
      <c r="H209" t="s">
        <v>393</v>
      </c>
      <c r="I209" t="s">
        <v>403</v>
      </c>
      <c r="J209" t="s">
        <v>392</v>
      </c>
      <c r="K209">
        <v>0</v>
      </c>
      <c r="L209">
        <v>3600</v>
      </c>
      <c r="M209">
        <v>0</v>
      </c>
      <c r="N209">
        <v>3</v>
      </c>
      <c r="O209">
        <v>0</v>
      </c>
      <c r="P209">
        <v>0</v>
      </c>
      <c r="Q209">
        <v>10</v>
      </c>
      <c r="R209">
        <v>0</v>
      </c>
      <c r="S209">
        <v>1</v>
      </c>
      <c r="T209">
        <v>5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0.1</v>
      </c>
      <c r="AB209" t="s">
        <v>451</v>
      </c>
      <c r="AC209">
        <v>1</v>
      </c>
      <c r="AD209">
        <v>0</v>
      </c>
      <c r="AE209">
        <v>2000</v>
      </c>
      <c r="AF209">
        <v>20</v>
      </c>
      <c r="AG209">
        <v>0</v>
      </c>
      <c r="AH209">
        <v>0</v>
      </c>
      <c r="AI209">
        <v>0</v>
      </c>
      <c r="AJ209">
        <v>0</v>
      </c>
      <c r="AO209">
        <v>5</v>
      </c>
      <c r="AP209">
        <v>1</v>
      </c>
      <c r="BA209">
        <v>1</v>
      </c>
      <c r="BB209">
        <v>0.05</v>
      </c>
      <c r="BD209">
        <v>0.03</v>
      </c>
    </row>
    <row r="210" spans="1:63" x14ac:dyDescent="0.25">
      <c r="A210" t="s">
        <v>274</v>
      </c>
      <c r="B210" t="s">
        <v>167</v>
      </c>
      <c r="C210" t="s">
        <v>387</v>
      </c>
      <c r="D210" t="s">
        <v>388</v>
      </c>
      <c r="E210">
        <v>1400</v>
      </c>
      <c r="F210">
        <v>1400</v>
      </c>
      <c r="G210" t="s">
        <v>383</v>
      </c>
      <c r="H210" t="s">
        <v>393</v>
      </c>
      <c r="I210" t="s">
        <v>403</v>
      </c>
      <c r="J210" t="s">
        <v>392</v>
      </c>
      <c r="K210">
        <v>0</v>
      </c>
      <c r="L210">
        <v>3600</v>
      </c>
      <c r="M210">
        <v>0</v>
      </c>
      <c r="N210">
        <v>3</v>
      </c>
      <c r="O210">
        <v>0</v>
      </c>
      <c r="P210">
        <v>0</v>
      </c>
      <c r="Q210">
        <v>10</v>
      </c>
      <c r="R210">
        <v>0</v>
      </c>
      <c r="S210">
        <v>1</v>
      </c>
      <c r="T210">
        <v>5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0.1</v>
      </c>
      <c r="AB210" s="2" t="s">
        <v>374</v>
      </c>
      <c r="AC210">
        <v>1</v>
      </c>
      <c r="AD210">
        <v>0</v>
      </c>
      <c r="AE210">
        <v>2000</v>
      </c>
      <c r="AF210">
        <v>20</v>
      </c>
      <c r="AG210">
        <v>0</v>
      </c>
      <c r="AH210">
        <v>0</v>
      </c>
      <c r="AI210">
        <v>0</v>
      </c>
      <c r="AJ210">
        <v>0</v>
      </c>
      <c r="AO210">
        <v>5</v>
      </c>
      <c r="AP210">
        <v>1</v>
      </c>
      <c r="BA210">
        <v>1</v>
      </c>
      <c r="BB210">
        <v>0.05</v>
      </c>
      <c r="BD210">
        <v>0.03</v>
      </c>
    </row>
    <row r="211" spans="1:63" hidden="1" x14ac:dyDescent="0.25">
      <c r="A211" t="s">
        <v>275</v>
      </c>
      <c r="B211" t="s">
        <v>482</v>
      </c>
      <c r="C211" t="s">
        <v>387</v>
      </c>
      <c r="D211" t="s">
        <v>388</v>
      </c>
      <c r="E211">
        <v>17500</v>
      </c>
      <c r="F211">
        <v>17500</v>
      </c>
      <c r="G211" t="s">
        <v>383</v>
      </c>
      <c r="H211" t="s">
        <v>384</v>
      </c>
      <c r="I211" t="s">
        <v>421</v>
      </c>
      <c r="J211" t="s">
        <v>399</v>
      </c>
      <c r="K211">
        <v>4000</v>
      </c>
      <c r="L211">
        <v>6000</v>
      </c>
      <c r="M211">
        <v>0</v>
      </c>
      <c r="N211">
        <v>0</v>
      </c>
      <c r="O211">
        <v>0</v>
      </c>
      <c r="P211">
        <v>0</v>
      </c>
      <c r="Q211">
        <v>1</v>
      </c>
      <c r="R211">
        <v>1</v>
      </c>
      <c r="S211">
        <v>1</v>
      </c>
      <c r="T211">
        <v>15</v>
      </c>
      <c r="U211">
        <v>0</v>
      </c>
      <c r="V211">
        <v>0</v>
      </c>
      <c r="W211">
        <v>0</v>
      </c>
      <c r="X211">
        <v>0</v>
      </c>
      <c r="Y211">
        <v>260</v>
      </c>
      <c r="Z211">
        <v>40</v>
      </c>
      <c r="AA211">
        <v>0.1</v>
      </c>
      <c r="AB211" t="s">
        <v>451</v>
      </c>
      <c r="AC211">
        <v>0</v>
      </c>
      <c r="AD211">
        <v>0</v>
      </c>
      <c r="AE211">
        <v>0</v>
      </c>
      <c r="AF211">
        <v>6</v>
      </c>
      <c r="AG211">
        <v>0</v>
      </c>
      <c r="AH211">
        <v>0</v>
      </c>
      <c r="AI211">
        <v>0</v>
      </c>
      <c r="AJ211">
        <v>0</v>
      </c>
      <c r="AO211">
        <v>100</v>
      </c>
      <c r="AP211">
        <v>1</v>
      </c>
      <c r="AW211">
        <v>0.5</v>
      </c>
      <c r="AY211">
        <v>0.3</v>
      </c>
      <c r="BA211">
        <v>1</v>
      </c>
      <c r="BB211">
        <v>0</v>
      </c>
      <c r="BD211">
        <v>0</v>
      </c>
      <c r="BF211">
        <v>0.4</v>
      </c>
    </row>
    <row r="212" spans="1:63" x14ac:dyDescent="0.25">
      <c r="A212" t="s">
        <v>275</v>
      </c>
      <c r="B212" t="s">
        <v>167</v>
      </c>
      <c r="C212" t="s">
        <v>387</v>
      </c>
      <c r="D212" t="s">
        <v>388</v>
      </c>
      <c r="E212" s="2">
        <v>9500</v>
      </c>
      <c r="F212" s="2">
        <v>9500</v>
      </c>
      <c r="G212" t="s">
        <v>383</v>
      </c>
      <c r="H212" t="s">
        <v>384</v>
      </c>
      <c r="I212" t="s">
        <v>421</v>
      </c>
      <c r="J212" t="s">
        <v>399</v>
      </c>
      <c r="K212">
        <v>4000</v>
      </c>
      <c r="L212" s="2">
        <v>5300</v>
      </c>
      <c r="M212">
        <v>0</v>
      </c>
      <c r="N212">
        <v>0</v>
      </c>
      <c r="O212">
        <v>0</v>
      </c>
      <c r="P212">
        <v>0</v>
      </c>
      <c r="Q212">
        <v>1</v>
      </c>
      <c r="R212">
        <v>1</v>
      </c>
      <c r="S212">
        <v>1</v>
      </c>
      <c r="T212">
        <v>15</v>
      </c>
      <c r="U212">
        <v>0</v>
      </c>
      <c r="V212">
        <v>0</v>
      </c>
      <c r="W212">
        <v>0</v>
      </c>
      <c r="X212">
        <v>0</v>
      </c>
      <c r="Y212">
        <v>260</v>
      </c>
      <c r="Z212">
        <v>40</v>
      </c>
      <c r="AA212">
        <v>0.1</v>
      </c>
      <c r="AB212" s="2" t="s">
        <v>374</v>
      </c>
      <c r="AC212">
        <v>0</v>
      </c>
      <c r="AD212">
        <v>0</v>
      </c>
      <c r="AE212">
        <v>0</v>
      </c>
      <c r="AF212">
        <v>6</v>
      </c>
      <c r="AG212">
        <v>0</v>
      </c>
      <c r="AH212">
        <v>0</v>
      </c>
      <c r="AI212">
        <v>0</v>
      </c>
      <c r="AJ212">
        <v>0</v>
      </c>
      <c r="AO212">
        <v>100</v>
      </c>
      <c r="AP212">
        <v>1</v>
      </c>
      <c r="AV212" s="2">
        <v>1.26</v>
      </c>
      <c r="AW212">
        <v>0.5</v>
      </c>
      <c r="AY212">
        <v>0.3</v>
      </c>
      <c r="BA212">
        <v>1</v>
      </c>
      <c r="BB212">
        <v>0</v>
      </c>
      <c r="BC212">
        <v>0</v>
      </c>
      <c r="BD212">
        <v>0</v>
      </c>
      <c r="BE212">
        <v>0</v>
      </c>
      <c r="BF212" s="2">
        <v>1</v>
      </c>
    </row>
    <row r="213" spans="1:63" hidden="1" x14ac:dyDescent="0.25">
      <c r="A213" t="s">
        <v>276</v>
      </c>
      <c r="B213" t="s">
        <v>482</v>
      </c>
      <c r="C213" t="s">
        <v>387</v>
      </c>
      <c r="D213" t="s">
        <v>388</v>
      </c>
      <c r="E213">
        <v>100</v>
      </c>
      <c r="F213">
        <v>100</v>
      </c>
      <c r="G213" t="s">
        <v>390</v>
      </c>
      <c r="H213" t="s">
        <v>393</v>
      </c>
      <c r="I213" t="s">
        <v>422</v>
      </c>
      <c r="J213" t="s">
        <v>392</v>
      </c>
      <c r="K213">
        <v>0</v>
      </c>
      <c r="L213">
        <v>1400</v>
      </c>
      <c r="M213">
        <v>0</v>
      </c>
      <c r="N213">
        <v>0.4</v>
      </c>
      <c r="O213">
        <v>0</v>
      </c>
      <c r="P213">
        <v>0</v>
      </c>
      <c r="Q213">
        <v>2</v>
      </c>
      <c r="R213">
        <v>0</v>
      </c>
      <c r="S213">
        <v>1</v>
      </c>
      <c r="T213">
        <v>0.7</v>
      </c>
      <c r="U213">
        <v>1.5</v>
      </c>
      <c r="V213">
        <v>1</v>
      </c>
      <c r="W213">
        <v>1</v>
      </c>
      <c r="X213">
        <v>1</v>
      </c>
      <c r="Y213">
        <v>120</v>
      </c>
      <c r="Z213">
        <v>120</v>
      </c>
      <c r="AA213">
        <v>0.1</v>
      </c>
      <c r="AB213" t="s">
        <v>451</v>
      </c>
      <c r="AC213">
        <v>1</v>
      </c>
      <c r="AD213">
        <v>0</v>
      </c>
      <c r="AE213">
        <v>300</v>
      </c>
      <c r="AF213">
        <v>0</v>
      </c>
      <c r="AG213">
        <v>-35</v>
      </c>
      <c r="AH213">
        <v>35</v>
      </c>
      <c r="AI213">
        <v>-60</v>
      </c>
      <c r="AJ213">
        <v>60</v>
      </c>
      <c r="AO213">
        <v>100</v>
      </c>
      <c r="AP213">
        <v>1</v>
      </c>
      <c r="BA213">
        <v>1</v>
      </c>
      <c r="BB213">
        <v>7.0000000000000007E-2</v>
      </c>
      <c r="BD213">
        <v>0.3</v>
      </c>
    </row>
    <row r="214" spans="1:63" x14ac:dyDescent="0.25">
      <c r="A214" t="s">
        <v>276</v>
      </c>
      <c r="B214" t="s">
        <v>167</v>
      </c>
      <c r="C214" t="s">
        <v>387</v>
      </c>
      <c r="D214" t="s">
        <v>388</v>
      </c>
      <c r="E214">
        <v>100</v>
      </c>
      <c r="F214">
        <v>100</v>
      </c>
      <c r="G214" t="s">
        <v>390</v>
      </c>
      <c r="H214" t="s">
        <v>393</v>
      </c>
      <c r="I214" t="s">
        <v>422</v>
      </c>
      <c r="J214" t="s">
        <v>392</v>
      </c>
      <c r="K214">
        <v>0</v>
      </c>
      <c r="L214">
        <v>1400</v>
      </c>
      <c r="M214">
        <v>0</v>
      </c>
      <c r="N214">
        <v>0.4</v>
      </c>
      <c r="O214">
        <v>0</v>
      </c>
      <c r="P214">
        <v>0</v>
      </c>
      <c r="Q214">
        <v>2</v>
      </c>
      <c r="R214">
        <v>0</v>
      </c>
      <c r="S214">
        <v>1</v>
      </c>
      <c r="T214">
        <v>0.7</v>
      </c>
      <c r="U214">
        <v>1.5</v>
      </c>
      <c r="V214">
        <v>1</v>
      </c>
      <c r="W214">
        <v>1</v>
      </c>
      <c r="X214">
        <v>1</v>
      </c>
      <c r="Y214">
        <v>120</v>
      </c>
      <c r="Z214">
        <v>120</v>
      </c>
      <c r="AA214">
        <v>0.1</v>
      </c>
      <c r="AB214" s="2" t="s">
        <v>374</v>
      </c>
      <c r="AC214">
        <v>1</v>
      </c>
      <c r="AD214">
        <v>0</v>
      </c>
      <c r="AE214">
        <v>300</v>
      </c>
      <c r="AF214">
        <v>0</v>
      </c>
      <c r="AG214">
        <v>-35</v>
      </c>
      <c r="AH214">
        <v>35</v>
      </c>
      <c r="AI214">
        <v>-60</v>
      </c>
      <c r="AJ214">
        <v>60</v>
      </c>
      <c r="AO214">
        <v>100</v>
      </c>
      <c r="AP214">
        <v>1</v>
      </c>
      <c r="BA214">
        <v>1</v>
      </c>
      <c r="BB214">
        <v>7.0000000000000007E-2</v>
      </c>
      <c r="BC214" s="2">
        <v>7.0000000000000007E-2</v>
      </c>
      <c r="BD214">
        <v>0.3</v>
      </c>
      <c r="BE214" s="2">
        <v>0.3</v>
      </c>
    </row>
    <row r="215" spans="1:63" hidden="1" x14ac:dyDescent="0.25">
      <c r="A215" t="s">
        <v>277</v>
      </c>
      <c r="B215" t="s">
        <v>482</v>
      </c>
      <c r="C215" t="s">
        <v>387</v>
      </c>
      <c r="D215" t="s">
        <v>388</v>
      </c>
      <c r="E215">
        <v>110</v>
      </c>
      <c r="F215">
        <v>110</v>
      </c>
      <c r="G215" t="s">
        <v>383</v>
      </c>
      <c r="H215" t="s">
        <v>384</v>
      </c>
      <c r="I215" t="s">
        <v>385</v>
      </c>
      <c r="J215" t="s">
        <v>399</v>
      </c>
      <c r="K215">
        <v>1200</v>
      </c>
      <c r="L215">
        <v>1800</v>
      </c>
      <c r="M215">
        <v>0</v>
      </c>
      <c r="N215">
        <v>0</v>
      </c>
      <c r="O215">
        <v>0</v>
      </c>
      <c r="P215">
        <v>0</v>
      </c>
      <c r="Q215">
        <v>1</v>
      </c>
      <c r="R215">
        <v>1</v>
      </c>
      <c r="S215">
        <v>0</v>
      </c>
      <c r="T215">
        <v>2.5</v>
      </c>
      <c r="U215">
        <v>0</v>
      </c>
      <c r="V215">
        <v>0</v>
      </c>
      <c r="W215">
        <v>0</v>
      </c>
      <c r="X215">
        <v>0</v>
      </c>
      <c r="Y215">
        <v>260</v>
      </c>
      <c r="Z215">
        <v>40</v>
      </c>
      <c r="AA215">
        <v>0.1</v>
      </c>
      <c r="AB215" t="s">
        <v>451</v>
      </c>
      <c r="AC215">
        <v>0</v>
      </c>
      <c r="AD215">
        <v>0</v>
      </c>
      <c r="AE215">
        <v>0</v>
      </c>
      <c r="AF215">
        <v>20</v>
      </c>
      <c r="AG215">
        <v>0</v>
      </c>
      <c r="AH215">
        <v>0</v>
      </c>
      <c r="AI215">
        <v>0</v>
      </c>
      <c r="AJ215">
        <v>0</v>
      </c>
      <c r="AO215">
        <v>5</v>
      </c>
      <c r="AP215">
        <v>1</v>
      </c>
      <c r="AW215">
        <v>0.4</v>
      </c>
      <c r="AX215">
        <v>0.2</v>
      </c>
      <c r="AY215">
        <v>2.5</v>
      </c>
      <c r="BA215">
        <v>1</v>
      </c>
      <c r="BB215">
        <v>0.04</v>
      </c>
      <c r="BD215">
        <v>0.09</v>
      </c>
      <c r="BF215">
        <v>0.6</v>
      </c>
      <c r="BG215">
        <v>0.6</v>
      </c>
      <c r="BH215">
        <v>0.6</v>
      </c>
      <c r="BK215">
        <v>0.6</v>
      </c>
    </row>
    <row r="216" spans="1:63" x14ac:dyDescent="0.25">
      <c r="A216" t="s">
        <v>277</v>
      </c>
      <c r="B216" t="s">
        <v>167</v>
      </c>
      <c r="C216" t="s">
        <v>387</v>
      </c>
      <c r="D216" t="s">
        <v>388</v>
      </c>
      <c r="E216">
        <v>110</v>
      </c>
      <c r="F216">
        <v>110</v>
      </c>
      <c r="G216" t="s">
        <v>383</v>
      </c>
      <c r="H216" t="s">
        <v>384</v>
      </c>
      <c r="I216" t="s">
        <v>385</v>
      </c>
      <c r="J216" t="s">
        <v>399</v>
      </c>
      <c r="K216">
        <v>1200</v>
      </c>
      <c r="L216" s="2" t="s">
        <v>373</v>
      </c>
      <c r="M216">
        <v>0</v>
      </c>
      <c r="N216">
        <v>0</v>
      </c>
      <c r="O216">
        <v>0</v>
      </c>
      <c r="P216">
        <v>0</v>
      </c>
      <c r="Q216">
        <v>1</v>
      </c>
      <c r="R216">
        <v>1</v>
      </c>
      <c r="S216">
        <v>0</v>
      </c>
      <c r="T216">
        <v>2.5</v>
      </c>
      <c r="U216">
        <v>0</v>
      </c>
      <c r="V216">
        <v>0</v>
      </c>
      <c r="W216">
        <v>0</v>
      </c>
      <c r="X216">
        <v>0</v>
      </c>
      <c r="Y216">
        <v>260</v>
      </c>
      <c r="Z216">
        <v>40</v>
      </c>
      <c r="AA216">
        <v>0.1</v>
      </c>
      <c r="AB216" s="2" t="s">
        <v>374</v>
      </c>
      <c r="AC216">
        <v>0</v>
      </c>
      <c r="AD216">
        <v>0</v>
      </c>
      <c r="AE216">
        <v>0</v>
      </c>
      <c r="AF216">
        <v>20</v>
      </c>
      <c r="AG216">
        <v>0</v>
      </c>
      <c r="AH216">
        <v>0</v>
      </c>
      <c r="AI216">
        <v>0</v>
      </c>
      <c r="AJ216">
        <v>0</v>
      </c>
      <c r="AO216">
        <v>5</v>
      </c>
      <c r="AP216">
        <v>1</v>
      </c>
      <c r="AV216" s="2">
        <v>1.2</v>
      </c>
      <c r="AW216">
        <v>0.4</v>
      </c>
      <c r="AX216">
        <v>0.2</v>
      </c>
      <c r="AY216">
        <v>2.5</v>
      </c>
      <c r="BA216">
        <v>1</v>
      </c>
      <c r="BB216">
        <v>0.04</v>
      </c>
      <c r="BC216" s="2">
        <v>0.04</v>
      </c>
      <c r="BD216">
        <v>0.09</v>
      </c>
      <c r="BE216" s="2">
        <v>0.09</v>
      </c>
      <c r="BF216">
        <v>0.6</v>
      </c>
      <c r="BG216">
        <v>0.6</v>
      </c>
      <c r="BH216">
        <v>0.6</v>
      </c>
      <c r="BK216">
        <v>0.6</v>
      </c>
    </row>
    <row r="217" spans="1:63" hidden="1" x14ac:dyDescent="0.25">
      <c r="A217" t="s">
        <v>278</v>
      </c>
      <c r="B217" t="s">
        <v>482</v>
      </c>
      <c r="C217" t="s">
        <v>387</v>
      </c>
      <c r="D217" t="s">
        <v>388</v>
      </c>
      <c r="E217">
        <v>50</v>
      </c>
      <c r="F217">
        <v>50</v>
      </c>
      <c r="G217" t="s">
        <v>396</v>
      </c>
      <c r="H217" t="s">
        <v>400</v>
      </c>
      <c r="I217" t="s">
        <v>401</v>
      </c>
      <c r="J217" t="s">
        <v>392</v>
      </c>
      <c r="K217">
        <v>0</v>
      </c>
      <c r="L217">
        <v>0</v>
      </c>
      <c r="M217">
        <v>32</v>
      </c>
      <c r="N217">
        <v>2</v>
      </c>
      <c r="O217">
        <v>0</v>
      </c>
      <c r="P217">
        <v>0</v>
      </c>
      <c r="Q217">
        <v>10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0.1</v>
      </c>
      <c r="AB217" t="s">
        <v>451</v>
      </c>
      <c r="AC217">
        <v>1</v>
      </c>
      <c r="AD217">
        <v>0</v>
      </c>
      <c r="AE217">
        <v>0</v>
      </c>
      <c r="AF217">
        <v>180</v>
      </c>
      <c r="AG217">
        <v>0</v>
      </c>
      <c r="AH217">
        <v>0</v>
      </c>
      <c r="AI217">
        <v>0</v>
      </c>
      <c r="AJ217">
        <v>0</v>
      </c>
      <c r="AO217">
        <v>5</v>
      </c>
      <c r="AP217">
        <v>1</v>
      </c>
    </row>
    <row r="218" spans="1:63" x14ac:dyDescent="0.25">
      <c r="A218" t="s">
        <v>278</v>
      </c>
      <c r="B218" t="s">
        <v>167</v>
      </c>
      <c r="C218" t="s">
        <v>387</v>
      </c>
      <c r="D218" t="s">
        <v>388</v>
      </c>
      <c r="E218">
        <v>50</v>
      </c>
      <c r="F218">
        <v>50</v>
      </c>
      <c r="G218" t="s">
        <v>396</v>
      </c>
      <c r="H218" t="s">
        <v>400</v>
      </c>
      <c r="I218" t="s">
        <v>401</v>
      </c>
      <c r="J218" t="s">
        <v>392</v>
      </c>
      <c r="K218">
        <v>0</v>
      </c>
      <c r="L218">
        <v>0</v>
      </c>
      <c r="M218">
        <v>32</v>
      </c>
      <c r="N218">
        <v>2</v>
      </c>
      <c r="O218">
        <v>0</v>
      </c>
      <c r="P218">
        <v>0</v>
      </c>
      <c r="Q218">
        <v>10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0.1</v>
      </c>
      <c r="AB218" s="2" t="s">
        <v>374</v>
      </c>
      <c r="AC218">
        <v>1</v>
      </c>
      <c r="AD218">
        <v>0</v>
      </c>
      <c r="AE218">
        <v>0</v>
      </c>
      <c r="AF218">
        <v>180</v>
      </c>
      <c r="AG218">
        <v>0</v>
      </c>
      <c r="AH218">
        <v>0</v>
      </c>
      <c r="AI218">
        <v>0</v>
      </c>
      <c r="AJ218">
        <v>0</v>
      </c>
      <c r="AO218">
        <v>5</v>
      </c>
      <c r="AP218">
        <v>1</v>
      </c>
    </row>
    <row r="219" spans="1:63" hidden="1" x14ac:dyDescent="0.25">
      <c r="A219" t="s">
        <v>279</v>
      </c>
      <c r="B219" t="s">
        <v>482</v>
      </c>
      <c r="C219" t="s">
        <v>387</v>
      </c>
      <c r="D219" t="s">
        <v>409</v>
      </c>
      <c r="E219">
        <v>0</v>
      </c>
      <c r="F219">
        <v>0</v>
      </c>
      <c r="G219" t="s">
        <v>396</v>
      </c>
      <c r="H219" t="s">
        <v>397</v>
      </c>
      <c r="I219" t="s">
        <v>423</v>
      </c>
      <c r="J219" t="s">
        <v>392</v>
      </c>
      <c r="K219">
        <v>40</v>
      </c>
      <c r="L219">
        <v>2000</v>
      </c>
      <c r="M219">
        <v>0</v>
      </c>
      <c r="N219">
        <v>0</v>
      </c>
      <c r="O219">
        <v>0</v>
      </c>
      <c r="P219">
        <v>2</v>
      </c>
      <c r="Q219">
        <v>1</v>
      </c>
      <c r="R219">
        <v>0</v>
      </c>
      <c r="S219">
        <v>0</v>
      </c>
      <c r="T219">
        <v>7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0.1</v>
      </c>
      <c r="AB219" t="s">
        <v>451</v>
      </c>
      <c r="AC219">
        <v>0</v>
      </c>
      <c r="AD219">
        <v>0</v>
      </c>
      <c r="AE219">
        <v>0</v>
      </c>
      <c r="AF219">
        <v>180</v>
      </c>
      <c r="AG219">
        <v>0</v>
      </c>
      <c r="AH219">
        <v>0</v>
      </c>
      <c r="AI219">
        <v>0</v>
      </c>
      <c r="AJ219">
        <v>0</v>
      </c>
      <c r="AK219" t="s">
        <v>410</v>
      </c>
      <c r="AL219" t="s">
        <v>409</v>
      </c>
      <c r="AM219">
        <v>0</v>
      </c>
      <c r="AN219">
        <v>0</v>
      </c>
      <c r="AO219">
        <v>5</v>
      </c>
      <c r="AP219">
        <v>1</v>
      </c>
      <c r="BA219">
        <v>1</v>
      </c>
    </row>
    <row r="220" spans="1:63" x14ac:dyDescent="0.25">
      <c r="A220" t="s">
        <v>279</v>
      </c>
      <c r="B220" t="s">
        <v>167</v>
      </c>
      <c r="C220" t="s">
        <v>387</v>
      </c>
      <c r="D220" t="s">
        <v>409</v>
      </c>
      <c r="E220">
        <v>0</v>
      </c>
      <c r="F220">
        <v>0</v>
      </c>
      <c r="G220" t="s">
        <v>396</v>
      </c>
      <c r="H220" t="s">
        <v>397</v>
      </c>
      <c r="I220" t="s">
        <v>423</v>
      </c>
      <c r="J220" t="s">
        <v>392</v>
      </c>
      <c r="K220">
        <v>40</v>
      </c>
      <c r="L220" s="2" t="s">
        <v>381</v>
      </c>
      <c r="M220">
        <v>0</v>
      </c>
      <c r="N220">
        <v>0</v>
      </c>
      <c r="O220">
        <v>0</v>
      </c>
      <c r="P220">
        <v>2</v>
      </c>
      <c r="Q220">
        <v>1</v>
      </c>
      <c r="R220">
        <v>0</v>
      </c>
      <c r="S220">
        <v>0</v>
      </c>
      <c r="T220">
        <v>7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0.1</v>
      </c>
      <c r="AB220" s="2" t="s">
        <v>374</v>
      </c>
      <c r="AC220">
        <v>0</v>
      </c>
      <c r="AD220">
        <v>0</v>
      </c>
      <c r="AE220">
        <v>0</v>
      </c>
      <c r="AF220">
        <v>180</v>
      </c>
      <c r="AG220">
        <v>0</v>
      </c>
      <c r="AH220">
        <v>0</v>
      </c>
      <c r="AI220">
        <v>0</v>
      </c>
      <c r="AJ220">
        <v>0</v>
      </c>
      <c r="AK220" t="s">
        <v>410</v>
      </c>
      <c r="AL220" t="s">
        <v>409</v>
      </c>
      <c r="AM220">
        <v>0</v>
      </c>
      <c r="AN220">
        <v>0</v>
      </c>
      <c r="AO220">
        <v>5</v>
      </c>
      <c r="AP220">
        <v>1</v>
      </c>
      <c r="BA220">
        <v>1</v>
      </c>
      <c r="BE220">
        <v>0</v>
      </c>
    </row>
    <row r="221" spans="1:63" x14ac:dyDescent="0.25">
      <c r="A221" s="3" t="s">
        <v>478</v>
      </c>
      <c r="B221" t="s">
        <v>167</v>
      </c>
      <c r="C221" t="s">
        <v>387</v>
      </c>
      <c r="D221" t="s">
        <v>409</v>
      </c>
      <c r="E221">
        <v>0</v>
      </c>
      <c r="F221">
        <v>0</v>
      </c>
      <c r="G221" t="s">
        <v>396</v>
      </c>
      <c r="H221" t="s">
        <v>397</v>
      </c>
      <c r="I221" t="s">
        <v>423</v>
      </c>
      <c r="J221" t="s">
        <v>392</v>
      </c>
      <c r="K221">
        <v>40</v>
      </c>
      <c r="L221" t="s">
        <v>381</v>
      </c>
      <c r="M221">
        <v>0</v>
      </c>
      <c r="N221">
        <v>0</v>
      </c>
      <c r="O221">
        <v>0</v>
      </c>
      <c r="P221">
        <v>2</v>
      </c>
      <c r="Q221">
        <v>1</v>
      </c>
      <c r="R221">
        <v>0</v>
      </c>
      <c r="S221">
        <v>0</v>
      </c>
      <c r="T221">
        <v>7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0.1</v>
      </c>
      <c r="AB221" t="s">
        <v>374</v>
      </c>
      <c r="AC221">
        <v>0</v>
      </c>
      <c r="AD221">
        <v>0</v>
      </c>
      <c r="AE221">
        <v>0</v>
      </c>
      <c r="AF221">
        <v>180</v>
      </c>
      <c r="AG221">
        <v>0</v>
      </c>
      <c r="AH221">
        <v>0</v>
      </c>
      <c r="AI221">
        <v>0</v>
      </c>
      <c r="AJ221">
        <v>0</v>
      </c>
      <c r="AK221" t="s">
        <v>410</v>
      </c>
      <c r="AL221" t="s">
        <v>409</v>
      </c>
      <c r="AM221">
        <v>0</v>
      </c>
      <c r="AN221">
        <v>0</v>
      </c>
      <c r="AO221">
        <v>5</v>
      </c>
      <c r="AP221">
        <v>1</v>
      </c>
      <c r="BA221">
        <v>0</v>
      </c>
      <c r="BE221">
        <v>1</v>
      </c>
    </row>
    <row r="222" spans="1:63" x14ac:dyDescent="0.25">
      <c r="A222" s="3" t="s">
        <v>371</v>
      </c>
      <c r="B222" t="s">
        <v>167</v>
      </c>
      <c r="C222" t="s">
        <v>387</v>
      </c>
      <c r="D222" t="s">
        <v>409</v>
      </c>
      <c r="E222">
        <v>0</v>
      </c>
      <c r="F222">
        <v>0</v>
      </c>
      <c r="G222" t="s">
        <v>396</v>
      </c>
      <c r="H222" t="s">
        <v>397</v>
      </c>
      <c r="I222" t="s">
        <v>439</v>
      </c>
      <c r="J222" t="s">
        <v>392</v>
      </c>
      <c r="K222">
        <v>40</v>
      </c>
      <c r="L222">
        <v>2800</v>
      </c>
      <c r="M222">
        <v>0</v>
      </c>
      <c r="N222">
        <v>0</v>
      </c>
      <c r="O222">
        <v>0</v>
      </c>
      <c r="P222">
        <v>2</v>
      </c>
      <c r="Q222">
        <v>1</v>
      </c>
      <c r="R222">
        <v>0</v>
      </c>
      <c r="S222">
        <v>0</v>
      </c>
      <c r="T222">
        <v>6.8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0.1</v>
      </c>
      <c r="AB222" t="s">
        <v>374</v>
      </c>
      <c r="AC222">
        <v>0</v>
      </c>
      <c r="AD222">
        <v>0</v>
      </c>
      <c r="AE222">
        <v>0</v>
      </c>
      <c r="AF222">
        <v>180</v>
      </c>
      <c r="AG222">
        <v>0</v>
      </c>
      <c r="AH222">
        <v>0</v>
      </c>
      <c r="AI222">
        <v>0</v>
      </c>
      <c r="AJ222">
        <v>0</v>
      </c>
      <c r="AK222" t="s">
        <v>410</v>
      </c>
      <c r="AL222" t="s">
        <v>409</v>
      </c>
      <c r="AM222">
        <v>0</v>
      </c>
      <c r="AN222">
        <v>0</v>
      </c>
      <c r="AO222">
        <v>5</v>
      </c>
      <c r="AP222">
        <v>1</v>
      </c>
      <c r="BA222">
        <v>1</v>
      </c>
    </row>
    <row r="223" spans="1:63" x14ac:dyDescent="0.25">
      <c r="A223" s="3" t="s">
        <v>522</v>
      </c>
      <c r="B223" t="s">
        <v>167</v>
      </c>
      <c r="C223" t="s">
        <v>387</v>
      </c>
      <c r="D223" t="s">
        <v>409</v>
      </c>
      <c r="E223">
        <v>0</v>
      </c>
      <c r="F223">
        <v>0</v>
      </c>
      <c r="G223" t="s">
        <v>396</v>
      </c>
      <c r="H223" t="s">
        <v>397</v>
      </c>
      <c r="I223" t="s">
        <v>439</v>
      </c>
      <c r="J223" t="s">
        <v>392</v>
      </c>
      <c r="K223">
        <v>40</v>
      </c>
      <c r="L223">
        <v>2800</v>
      </c>
      <c r="M223">
        <v>0</v>
      </c>
      <c r="N223">
        <v>0</v>
      </c>
      <c r="O223">
        <v>0</v>
      </c>
      <c r="P223">
        <v>2</v>
      </c>
      <c r="Q223">
        <v>1</v>
      </c>
      <c r="R223">
        <v>0</v>
      </c>
      <c r="S223">
        <v>0</v>
      </c>
      <c r="T223">
        <v>6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0.1</v>
      </c>
      <c r="AB223" t="s">
        <v>374</v>
      </c>
      <c r="AC223">
        <v>0</v>
      </c>
      <c r="AD223">
        <v>0</v>
      </c>
      <c r="AE223">
        <v>0</v>
      </c>
      <c r="AF223">
        <v>180</v>
      </c>
      <c r="AG223">
        <v>0</v>
      </c>
      <c r="AH223">
        <v>0</v>
      </c>
      <c r="AI223">
        <v>0</v>
      </c>
      <c r="AJ223">
        <v>0</v>
      </c>
      <c r="AK223" t="s">
        <v>410</v>
      </c>
      <c r="AL223" t="s">
        <v>409</v>
      </c>
      <c r="AM223">
        <v>0</v>
      </c>
      <c r="AN223">
        <v>0</v>
      </c>
      <c r="AO223">
        <v>5</v>
      </c>
      <c r="AP223">
        <v>1</v>
      </c>
      <c r="BA223">
        <v>1</v>
      </c>
    </row>
    <row r="224" spans="1:63" x14ac:dyDescent="0.25">
      <c r="A224" s="3" t="s">
        <v>523</v>
      </c>
      <c r="B224" t="s">
        <v>167</v>
      </c>
      <c r="C224" t="s">
        <v>387</v>
      </c>
      <c r="D224" t="s">
        <v>409</v>
      </c>
      <c r="E224">
        <v>0</v>
      </c>
      <c r="F224">
        <v>0</v>
      </c>
      <c r="G224" t="s">
        <v>396</v>
      </c>
      <c r="H224" t="s">
        <v>397</v>
      </c>
      <c r="I224" t="s">
        <v>439</v>
      </c>
      <c r="J224" t="s">
        <v>392</v>
      </c>
      <c r="K224">
        <v>40</v>
      </c>
      <c r="L224">
        <v>4000</v>
      </c>
      <c r="M224">
        <v>0</v>
      </c>
      <c r="N224">
        <v>0</v>
      </c>
      <c r="O224">
        <v>0</v>
      </c>
      <c r="P224">
        <v>2</v>
      </c>
      <c r="Q224">
        <v>1</v>
      </c>
      <c r="R224">
        <v>0</v>
      </c>
      <c r="S224">
        <v>0</v>
      </c>
      <c r="T224">
        <v>5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0.1</v>
      </c>
      <c r="AB224" t="s">
        <v>374</v>
      </c>
      <c r="AC224">
        <v>0</v>
      </c>
      <c r="AD224">
        <v>0</v>
      </c>
      <c r="AE224">
        <v>0</v>
      </c>
      <c r="AF224">
        <v>180</v>
      </c>
      <c r="AG224">
        <v>0</v>
      </c>
      <c r="AH224">
        <v>0</v>
      </c>
      <c r="AI224">
        <v>0</v>
      </c>
      <c r="AJ224">
        <v>0</v>
      </c>
      <c r="AK224" t="s">
        <v>410</v>
      </c>
      <c r="AL224" t="s">
        <v>409</v>
      </c>
      <c r="AM224">
        <v>0</v>
      </c>
      <c r="AN224">
        <v>0</v>
      </c>
      <c r="AO224">
        <v>5</v>
      </c>
      <c r="AP224">
        <v>1</v>
      </c>
      <c r="BA224">
        <v>0</v>
      </c>
      <c r="BE224">
        <v>1</v>
      </c>
    </row>
    <row r="225" spans="1:63" hidden="1" x14ac:dyDescent="0.25">
      <c r="A225" t="s">
        <v>280</v>
      </c>
      <c r="B225" t="s">
        <v>482</v>
      </c>
      <c r="C225" t="s">
        <v>387</v>
      </c>
      <c r="D225" t="s">
        <v>388</v>
      </c>
      <c r="E225">
        <v>30</v>
      </c>
      <c r="F225">
        <v>30</v>
      </c>
      <c r="G225" t="s">
        <v>383</v>
      </c>
      <c r="H225" t="s">
        <v>384</v>
      </c>
      <c r="I225" t="s">
        <v>407</v>
      </c>
      <c r="J225" t="s">
        <v>392</v>
      </c>
      <c r="K225">
        <v>1200</v>
      </c>
      <c r="L225">
        <v>1200</v>
      </c>
      <c r="M225">
        <v>0</v>
      </c>
      <c r="N225">
        <v>0</v>
      </c>
      <c r="O225">
        <v>0</v>
      </c>
      <c r="P225">
        <v>0</v>
      </c>
      <c r="Q225">
        <v>1</v>
      </c>
      <c r="R225">
        <v>1</v>
      </c>
      <c r="S225">
        <v>1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0.1</v>
      </c>
      <c r="AB225" t="s">
        <v>451</v>
      </c>
      <c r="AC225">
        <v>0</v>
      </c>
      <c r="AD225">
        <v>0</v>
      </c>
      <c r="AE225">
        <v>0</v>
      </c>
      <c r="AF225">
        <v>25</v>
      </c>
      <c r="AG225">
        <v>0</v>
      </c>
      <c r="AH225">
        <v>0</v>
      </c>
      <c r="AI225">
        <v>0</v>
      </c>
      <c r="AJ225">
        <v>0</v>
      </c>
      <c r="AO225">
        <v>5</v>
      </c>
      <c r="AP225">
        <v>1</v>
      </c>
      <c r="AX225">
        <v>0.8</v>
      </c>
      <c r="AY225">
        <v>3</v>
      </c>
      <c r="BA225">
        <v>1</v>
      </c>
      <c r="BB225">
        <v>9.5000000000000001E-2</v>
      </c>
      <c r="BD225">
        <v>0.13</v>
      </c>
      <c r="BF225">
        <v>0.6</v>
      </c>
      <c r="BG225">
        <v>0.6</v>
      </c>
      <c r="BH225">
        <v>0.6</v>
      </c>
      <c r="BK225">
        <v>0.6</v>
      </c>
    </row>
    <row r="226" spans="1:63" x14ac:dyDescent="0.25">
      <c r="A226" t="s">
        <v>280</v>
      </c>
      <c r="B226" t="s">
        <v>167</v>
      </c>
      <c r="C226" t="s">
        <v>387</v>
      </c>
      <c r="D226" t="s">
        <v>388</v>
      </c>
      <c r="E226">
        <v>30</v>
      </c>
      <c r="F226">
        <v>30</v>
      </c>
      <c r="G226" t="s">
        <v>383</v>
      </c>
      <c r="H226" t="s">
        <v>384</v>
      </c>
      <c r="I226" t="s">
        <v>407</v>
      </c>
      <c r="J226" t="s">
        <v>392</v>
      </c>
      <c r="K226">
        <v>1200</v>
      </c>
      <c r="L226" s="2" t="s">
        <v>382</v>
      </c>
      <c r="M226">
        <v>0</v>
      </c>
      <c r="N226">
        <v>0</v>
      </c>
      <c r="O226">
        <v>0</v>
      </c>
      <c r="P226">
        <v>0</v>
      </c>
      <c r="Q226">
        <v>1</v>
      </c>
      <c r="R226">
        <v>1</v>
      </c>
      <c r="S226">
        <v>1</v>
      </c>
      <c r="T226">
        <v>1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0.1</v>
      </c>
      <c r="AB226" s="2" t="s">
        <v>374</v>
      </c>
      <c r="AC226">
        <v>0</v>
      </c>
      <c r="AD226">
        <v>0</v>
      </c>
      <c r="AE226">
        <v>0</v>
      </c>
      <c r="AF226" s="2">
        <v>23</v>
      </c>
      <c r="AG226">
        <v>0</v>
      </c>
      <c r="AH226">
        <v>0</v>
      </c>
      <c r="AI226">
        <v>0</v>
      </c>
      <c r="AJ226">
        <v>0</v>
      </c>
      <c r="AO226">
        <v>5</v>
      </c>
      <c r="AP226">
        <v>1</v>
      </c>
      <c r="AR226" s="2">
        <v>1.9</v>
      </c>
      <c r="AT226" s="2">
        <v>1.8</v>
      </c>
      <c r="AU226" s="2">
        <v>1.0900000000000001</v>
      </c>
      <c r="AV226" s="2">
        <v>1</v>
      </c>
      <c r="AX226" s="2">
        <v>0.6</v>
      </c>
      <c r="AY226">
        <v>3</v>
      </c>
      <c r="BA226">
        <v>1</v>
      </c>
      <c r="BB226">
        <v>9.5000000000000001E-2</v>
      </c>
      <c r="BC226" s="2">
        <v>0.18</v>
      </c>
      <c r="BD226">
        <v>0.13</v>
      </c>
      <c r="BE226" s="2">
        <v>0.21</v>
      </c>
      <c r="BF226">
        <v>0.6</v>
      </c>
      <c r="BG226">
        <v>0.6</v>
      </c>
      <c r="BH226">
        <v>0.6</v>
      </c>
      <c r="BK226">
        <v>0.6</v>
      </c>
    </row>
    <row r="227" spans="1:63" hidden="1" x14ac:dyDescent="0.25">
      <c r="A227" t="s">
        <v>281</v>
      </c>
      <c r="B227" t="s">
        <v>482</v>
      </c>
      <c r="C227" t="s">
        <v>387</v>
      </c>
      <c r="D227" t="s">
        <v>388</v>
      </c>
      <c r="E227">
        <v>95</v>
      </c>
      <c r="F227">
        <v>95</v>
      </c>
      <c r="G227" t="s">
        <v>390</v>
      </c>
      <c r="H227" t="s">
        <v>384</v>
      </c>
      <c r="I227" t="s">
        <v>414</v>
      </c>
      <c r="J227" t="s">
        <v>392</v>
      </c>
      <c r="K227">
        <v>2000</v>
      </c>
      <c r="L227">
        <v>2500</v>
      </c>
      <c r="M227">
        <v>0</v>
      </c>
      <c r="N227">
        <v>0</v>
      </c>
      <c r="O227">
        <v>0</v>
      </c>
      <c r="P227">
        <v>0</v>
      </c>
      <c r="Q227">
        <v>1</v>
      </c>
      <c r="R227">
        <v>1</v>
      </c>
      <c r="S227">
        <v>1</v>
      </c>
      <c r="T227">
        <v>2.5</v>
      </c>
      <c r="U227">
        <v>0</v>
      </c>
      <c r="V227">
        <v>0</v>
      </c>
      <c r="W227">
        <v>1</v>
      </c>
      <c r="X227">
        <v>0</v>
      </c>
      <c r="Y227">
        <v>60</v>
      </c>
      <c r="Z227">
        <v>60</v>
      </c>
      <c r="AA227">
        <v>0.1</v>
      </c>
      <c r="AB227" t="s">
        <v>451</v>
      </c>
      <c r="AC227">
        <v>1</v>
      </c>
      <c r="AD227">
        <v>0</v>
      </c>
      <c r="AE227">
        <v>0</v>
      </c>
      <c r="AF227">
        <v>0</v>
      </c>
      <c r="AG227">
        <v>-150</v>
      </c>
      <c r="AH227">
        <v>150</v>
      </c>
      <c r="AI227">
        <v>-10</v>
      </c>
      <c r="AJ227">
        <v>60</v>
      </c>
      <c r="AO227">
        <v>5</v>
      </c>
      <c r="AP227">
        <v>1</v>
      </c>
      <c r="BA227">
        <v>1</v>
      </c>
      <c r="BB227">
        <v>0.31</v>
      </c>
      <c r="BD227">
        <v>0.13</v>
      </c>
      <c r="BF227">
        <v>0.8</v>
      </c>
      <c r="BG227">
        <v>0.6</v>
      </c>
      <c r="BH227">
        <v>0.6</v>
      </c>
      <c r="BK227">
        <v>0.6</v>
      </c>
    </row>
    <row r="228" spans="1:63" x14ac:dyDescent="0.25">
      <c r="A228" t="s">
        <v>281</v>
      </c>
      <c r="B228" t="s">
        <v>167</v>
      </c>
      <c r="C228" t="s">
        <v>387</v>
      </c>
      <c r="D228" t="s">
        <v>388</v>
      </c>
      <c r="E228">
        <v>95</v>
      </c>
      <c r="F228">
        <v>95</v>
      </c>
      <c r="G228" t="s">
        <v>390</v>
      </c>
      <c r="H228" t="s">
        <v>384</v>
      </c>
      <c r="I228" t="s">
        <v>414</v>
      </c>
      <c r="J228" t="s">
        <v>392</v>
      </c>
      <c r="K228">
        <v>2000</v>
      </c>
      <c r="L228">
        <v>2500</v>
      </c>
      <c r="M228">
        <v>0</v>
      </c>
      <c r="N228">
        <v>0</v>
      </c>
      <c r="O228">
        <v>0</v>
      </c>
      <c r="P228">
        <v>0</v>
      </c>
      <c r="Q228">
        <v>1</v>
      </c>
      <c r="R228">
        <v>1</v>
      </c>
      <c r="S228">
        <v>1</v>
      </c>
      <c r="T228" s="2">
        <v>1.9</v>
      </c>
      <c r="U228">
        <v>0</v>
      </c>
      <c r="V228">
        <v>0</v>
      </c>
      <c r="W228">
        <v>1</v>
      </c>
      <c r="X228">
        <v>0</v>
      </c>
      <c r="Y228" s="2">
        <v>85</v>
      </c>
      <c r="Z228" s="2">
        <v>85</v>
      </c>
      <c r="AA228">
        <v>0.1</v>
      </c>
      <c r="AB228" s="2" t="s">
        <v>374</v>
      </c>
      <c r="AC228">
        <v>1</v>
      </c>
      <c r="AD228">
        <v>0</v>
      </c>
      <c r="AE228">
        <v>0</v>
      </c>
      <c r="AF228">
        <v>0</v>
      </c>
      <c r="AG228">
        <v>-150</v>
      </c>
      <c r="AH228">
        <v>150</v>
      </c>
      <c r="AI228">
        <v>-10</v>
      </c>
      <c r="AJ228">
        <v>60</v>
      </c>
      <c r="AO228">
        <v>5</v>
      </c>
      <c r="AP228">
        <v>1</v>
      </c>
      <c r="AQ228" s="2">
        <v>0.31900000000000001</v>
      </c>
      <c r="AR228" s="2">
        <v>0.66</v>
      </c>
      <c r="AS228" s="2">
        <v>1</v>
      </c>
      <c r="AT228" s="2">
        <v>1.5</v>
      </c>
      <c r="AU228" s="2">
        <v>0.82</v>
      </c>
      <c r="AV228" s="2">
        <v>0.79</v>
      </c>
      <c r="BA228">
        <v>1</v>
      </c>
      <c r="BB228">
        <v>0.31</v>
      </c>
      <c r="BC228" s="2">
        <v>0.64</v>
      </c>
      <c r="BD228">
        <v>0.13</v>
      </c>
      <c r="BE228" s="2">
        <v>0.13</v>
      </c>
      <c r="BF228" s="2">
        <v>0.7</v>
      </c>
      <c r="BG228" s="2">
        <v>0.7</v>
      </c>
      <c r="BH228" s="2">
        <v>0.7</v>
      </c>
      <c r="BK228">
        <v>0.6</v>
      </c>
    </row>
    <row r="229" spans="1:63" hidden="1" x14ac:dyDescent="0.25">
      <c r="A229" t="s">
        <v>282</v>
      </c>
      <c r="B229" t="s">
        <v>482</v>
      </c>
      <c r="C229" t="s">
        <v>387</v>
      </c>
      <c r="D229" t="s">
        <v>388</v>
      </c>
      <c r="E229">
        <v>95</v>
      </c>
      <c r="F229">
        <v>95</v>
      </c>
      <c r="G229" t="s">
        <v>390</v>
      </c>
      <c r="H229" t="s">
        <v>384</v>
      </c>
      <c r="I229" t="s">
        <v>414</v>
      </c>
      <c r="J229" t="s">
        <v>392</v>
      </c>
      <c r="K229">
        <v>2000</v>
      </c>
      <c r="L229">
        <v>2500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1</v>
      </c>
      <c r="S229">
        <v>1</v>
      </c>
      <c r="T229">
        <v>2.5</v>
      </c>
      <c r="U229">
        <v>0</v>
      </c>
      <c r="V229">
        <v>0</v>
      </c>
      <c r="W229">
        <v>1</v>
      </c>
      <c r="X229">
        <v>0</v>
      </c>
      <c r="Y229">
        <v>60</v>
      </c>
      <c r="Z229">
        <v>60</v>
      </c>
      <c r="AA229">
        <v>0.1</v>
      </c>
      <c r="AB229" t="s">
        <v>451</v>
      </c>
      <c r="AC229">
        <v>1</v>
      </c>
      <c r="AD229">
        <v>0</v>
      </c>
      <c r="AE229">
        <v>0</v>
      </c>
      <c r="AF229">
        <v>0</v>
      </c>
      <c r="AG229">
        <v>-180</v>
      </c>
      <c r="AH229">
        <v>13</v>
      </c>
      <c r="AI229">
        <v>-10</v>
      </c>
      <c r="AJ229">
        <v>60</v>
      </c>
      <c r="AO229">
        <v>5</v>
      </c>
      <c r="AP229">
        <v>1</v>
      </c>
      <c r="BA229">
        <v>1</v>
      </c>
      <c r="BB229">
        <v>0.31</v>
      </c>
      <c r="BD229">
        <v>0.13</v>
      </c>
      <c r="BF229">
        <v>0.8</v>
      </c>
      <c r="BG229">
        <v>0.6</v>
      </c>
      <c r="BH229">
        <v>0.6</v>
      </c>
      <c r="BK229">
        <v>0.6</v>
      </c>
    </row>
    <row r="230" spans="1:63" x14ac:dyDescent="0.25">
      <c r="A230" t="s">
        <v>282</v>
      </c>
      <c r="B230" t="s">
        <v>167</v>
      </c>
      <c r="C230" t="s">
        <v>387</v>
      </c>
      <c r="D230" t="s">
        <v>388</v>
      </c>
      <c r="E230">
        <v>95</v>
      </c>
      <c r="F230">
        <v>95</v>
      </c>
      <c r="G230" t="s">
        <v>390</v>
      </c>
      <c r="H230" t="s">
        <v>384</v>
      </c>
      <c r="I230" t="s">
        <v>414</v>
      </c>
      <c r="J230" t="s">
        <v>392</v>
      </c>
      <c r="K230">
        <v>2000</v>
      </c>
      <c r="L230">
        <v>2500</v>
      </c>
      <c r="M230">
        <v>0</v>
      </c>
      <c r="N230">
        <v>0</v>
      </c>
      <c r="O230">
        <v>0</v>
      </c>
      <c r="P230">
        <v>0</v>
      </c>
      <c r="Q230">
        <v>1</v>
      </c>
      <c r="R230">
        <v>1</v>
      </c>
      <c r="S230">
        <v>1</v>
      </c>
      <c r="T230" s="2">
        <v>1.9</v>
      </c>
      <c r="U230">
        <v>0</v>
      </c>
      <c r="V230">
        <v>0</v>
      </c>
      <c r="W230">
        <v>1</v>
      </c>
      <c r="X230">
        <v>0</v>
      </c>
      <c r="Y230" s="2">
        <v>85</v>
      </c>
      <c r="Z230" s="2">
        <v>85</v>
      </c>
      <c r="AA230">
        <v>0.1</v>
      </c>
      <c r="AB230" s="2" t="s">
        <v>374</v>
      </c>
      <c r="AC230">
        <v>1</v>
      </c>
      <c r="AD230">
        <v>0</v>
      </c>
      <c r="AE230">
        <v>0</v>
      </c>
      <c r="AF230">
        <v>0</v>
      </c>
      <c r="AG230">
        <v>-180</v>
      </c>
      <c r="AH230">
        <v>13</v>
      </c>
      <c r="AI230">
        <v>-10</v>
      </c>
      <c r="AJ230">
        <v>60</v>
      </c>
      <c r="AO230">
        <v>5</v>
      </c>
      <c r="AP230">
        <v>1</v>
      </c>
      <c r="AQ230" s="2">
        <v>0.31900000000000001</v>
      </c>
      <c r="AR230" s="2">
        <v>0.66</v>
      </c>
      <c r="AS230" s="2">
        <v>1</v>
      </c>
      <c r="AT230" s="2">
        <v>1.5</v>
      </c>
      <c r="AU230" s="2">
        <v>0.82</v>
      </c>
      <c r="AV230" s="2">
        <v>0.79</v>
      </c>
      <c r="BA230">
        <v>1</v>
      </c>
      <c r="BB230">
        <v>0.31</v>
      </c>
      <c r="BC230" s="2">
        <v>0.64</v>
      </c>
      <c r="BD230">
        <v>0.13</v>
      </c>
      <c r="BE230" s="2">
        <v>0.13</v>
      </c>
      <c r="BF230" s="2">
        <v>0.7</v>
      </c>
      <c r="BG230" s="2">
        <v>0.7</v>
      </c>
      <c r="BH230" s="2">
        <v>0.7</v>
      </c>
      <c r="BK230">
        <v>0.6</v>
      </c>
    </row>
    <row r="231" spans="1:63" hidden="1" x14ac:dyDescent="0.25">
      <c r="A231" t="s">
        <v>283</v>
      </c>
      <c r="B231" t="s">
        <v>482</v>
      </c>
      <c r="C231" t="s">
        <v>387</v>
      </c>
      <c r="D231" t="s">
        <v>388</v>
      </c>
      <c r="E231">
        <v>95</v>
      </c>
      <c r="F231">
        <v>95</v>
      </c>
      <c r="G231" t="s">
        <v>390</v>
      </c>
      <c r="H231" t="s">
        <v>384</v>
      </c>
      <c r="I231" t="s">
        <v>414</v>
      </c>
      <c r="J231" t="s">
        <v>392</v>
      </c>
      <c r="K231">
        <v>2000</v>
      </c>
      <c r="L231">
        <v>2500</v>
      </c>
      <c r="M231">
        <v>0</v>
      </c>
      <c r="N231">
        <v>0</v>
      </c>
      <c r="O231">
        <v>0</v>
      </c>
      <c r="P231">
        <v>0</v>
      </c>
      <c r="Q231">
        <v>1</v>
      </c>
      <c r="R231">
        <v>1</v>
      </c>
      <c r="S231">
        <v>1</v>
      </c>
      <c r="T231">
        <v>2.5</v>
      </c>
      <c r="U231">
        <v>0</v>
      </c>
      <c r="V231">
        <v>0</v>
      </c>
      <c r="W231">
        <v>1</v>
      </c>
      <c r="X231">
        <v>0</v>
      </c>
      <c r="Y231">
        <v>60</v>
      </c>
      <c r="Z231">
        <v>60</v>
      </c>
      <c r="AA231">
        <v>0.1</v>
      </c>
      <c r="AB231" t="s">
        <v>451</v>
      </c>
      <c r="AC231">
        <v>1</v>
      </c>
      <c r="AD231">
        <v>0</v>
      </c>
      <c r="AE231">
        <v>0</v>
      </c>
      <c r="AF231">
        <v>0</v>
      </c>
      <c r="AG231">
        <v>-13</v>
      </c>
      <c r="AH231">
        <v>180</v>
      </c>
      <c r="AI231">
        <v>-10</v>
      </c>
      <c r="AJ231">
        <v>60</v>
      </c>
      <c r="AO231">
        <v>5</v>
      </c>
      <c r="AP231">
        <v>1</v>
      </c>
      <c r="BA231">
        <v>1</v>
      </c>
      <c r="BB231">
        <v>0.31</v>
      </c>
      <c r="BD231">
        <v>0.13</v>
      </c>
      <c r="BF231">
        <v>0.8</v>
      </c>
      <c r="BG231">
        <v>0.6</v>
      </c>
      <c r="BH231">
        <v>0.6</v>
      </c>
      <c r="BK231">
        <v>0.6</v>
      </c>
    </row>
    <row r="232" spans="1:63" x14ac:dyDescent="0.25">
      <c r="A232" t="s">
        <v>283</v>
      </c>
      <c r="B232" t="s">
        <v>167</v>
      </c>
      <c r="C232" t="s">
        <v>387</v>
      </c>
      <c r="D232" t="s">
        <v>388</v>
      </c>
      <c r="E232">
        <v>95</v>
      </c>
      <c r="F232">
        <v>95</v>
      </c>
      <c r="G232" t="s">
        <v>390</v>
      </c>
      <c r="H232" t="s">
        <v>384</v>
      </c>
      <c r="I232" t="s">
        <v>414</v>
      </c>
      <c r="J232" t="s">
        <v>392</v>
      </c>
      <c r="K232">
        <v>2000</v>
      </c>
      <c r="L232">
        <v>2500</v>
      </c>
      <c r="M232">
        <v>0</v>
      </c>
      <c r="N232">
        <v>0</v>
      </c>
      <c r="O232">
        <v>0</v>
      </c>
      <c r="P232">
        <v>0</v>
      </c>
      <c r="Q232">
        <v>1</v>
      </c>
      <c r="R232">
        <v>1</v>
      </c>
      <c r="S232">
        <v>1</v>
      </c>
      <c r="T232" s="2">
        <v>1.9</v>
      </c>
      <c r="U232">
        <v>0</v>
      </c>
      <c r="V232">
        <v>0</v>
      </c>
      <c r="W232">
        <v>1</v>
      </c>
      <c r="X232">
        <v>0</v>
      </c>
      <c r="Y232" s="2">
        <v>85</v>
      </c>
      <c r="Z232" s="2">
        <v>85</v>
      </c>
      <c r="AA232">
        <v>0.1</v>
      </c>
      <c r="AB232" s="2" t="s">
        <v>374</v>
      </c>
      <c r="AC232">
        <v>1</v>
      </c>
      <c r="AD232">
        <v>0</v>
      </c>
      <c r="AE232">
        <v>0</v>
      </c>
      <c r="AF232">
        <v>0</v>
      </c>
      <c r="AG232">
        <v>-13</v>
      </c>
      <c r="AH232">
        <v>180</v>
      </c>
      <c r="AI232">
        <v>-10</v>
      </c>
      <c r="AJ232">
        <v>60</v>
      </c>
      <c r="AO232">
        <v>5</v>
      </c>
      <c r="AP232">
        <v>1</v>
      </c>
      <c r="AQ232" s="2">
        <v>0.31900000000000001</v>
      </c>
      <c r="AR232" s="2">
        <v>0.66</v>
      </c>
      <c r="AS232" s="2">
        <v>1</v>
      </c>
      <c r="AT232" s="2">
        <v>1.5</v>
      </c>
      <c r="AU232" s="2">
        <v>0.82</v>
      </c>
      <c r="AV232" s="2">
        <v>0.79</v>
      </c>
      <c r="BA232">
        <v>1</v>
      </c>
      <c r="BB232">
        <v>0.31</v>
      </c>
      <c r="BC232" s="2">
        <v>0.64</v>
      </c>
      <c r="BD232">
        <v>0.13</v>
      </c>
      <c r="BE232" s="2">
        <v>0.13</v>
      </c>
      <c r="BF232" s="2">
        <v>0.7</v>
      </c>
      <c r="BG232" s="2">
        <v>0.7</v>
      </c>
      <c r="BH232" s="2">
        <v>0.7</v>
      </c>
      <c r="BK232">
        <v>0.6</v>
      </c>
    </row>
    <row r="233" spans="1:63" hidden="1" x14ac:dyDescent="0.25">
      <c r="A233" t="s">
        <v>284</v>
      </c>
      <c r="B233" t="s">
        <v>482</v>
      </c>
      <c r="C233" t="s">
        <v>387</v>
      </c>
      <c r="D233" t="s">
        <v>388</v>
      </c>
      <c r="E233">
        <v>450</v>
      </c>
      <c r="F233">
        <v>450</v>
      </c>
      <c r="G233" t="s">
        <v>390</v>
      </c>
      <c r="H233" t="s">
        <v>384</v>
      </c>
      <c r="I233" t="s">
        <v>391</v>
      </c>
      <c r="J233" t="s">
        <v>392</v>
      </c>
      <c r="K233">
        <v>5500</v>
      </c>
      <c r="L233">
        <v>4500</v>
      </c>
      <c r="M233">
        <v>0</v>
      </c>
      <c r="N233">
        <v>0</v>
      </c>
      <c r="O233">
        <v>0</v>
      </c>
      <c r="P233">
        <v>0</v>
      </c>
      <c r="Q233">
        <v>1</v>
      </c>
      <c r="R233">
        <v>1</v>
      </c>
      <c r="S233">
        <v>1</v>
      </c>
      <c r="T233">
        <v>5</v>
      </c>
      <c r="U233">
        <v>0</v>
      </c>
      <c r="V233">
        <v>0</v>
      </c>
      <c r="W233">
        <v>1</v>
      </c>
      <c r="X233">
        <v>1</v>
      </c>
      <c r="Y233">
        <v>40</v>
      </c>
      <c r="Z233">
        <v>25</v>
      </c>
      <c r="AA233">
        <v>0.1</v>
      </c>
      <c r="AB233" t="s">
        <v>451</v>
      </c>
      <c r="AC233">
        <v>1</v>
      </c>
      <c r="AD233">
        <v>0</v>
      </c>
      <c r="AE233">
        <v>0</v>
      </c>
      <c r="AF233">
        <v>0</v>
      </c>
      <c r="AG233">
        <v>-170</v>
      </c>
      <c r="AH233">
        <v>170</v>
      </c>
      <c r="AI233">
        <v>-1</v>
      </c>
      <c r="AJ233">
        <v>30</v>
      </c>
      <c r="AO233">
        <v>30</v>
      </c>
      <c r="AP233">
        <v>1</v>
      </c>
      <c r="BA233">
        <v>1</v>
      </c>
      <c r="BB233">
        <v>0.01</v>
      </c>
      <c r="BD233">
        <v>0.01</v>
      </c>
    </row>
    <row r="234" spans="1:63" x14ac:dyDescent="0.25">
      <c r="A234" t="s">
        <v>284</v>
      </c>
      <c r="B234" t="s">
        <v>167</v>
      </c>
      <c r="C234" t="s">
        <v>387</v>
      </c>
      <c r="D234" t="s">
        <v>388</v>
      </c>
      <c r="E234">
        <v>450</v>
      </c>
      <c r="F234">
        <v>450</v>
      </c>
      <c r="G234" t="s">
        <v>390</v>
      </c>
      <c r="H234" t="s">
        <v>384</v>
      </c>
      <c r="I234" t="s">
        <v>391</v>
      </c>
      <c r="J234" t="s">
        <v>392</v>
      </c>
      <c r="K234" s="2">
        <v>5000</v>
      </c>
      <c r="L234">
        <v>4500</v>
      </c>
      <c r="M234">
        <v>0</v>
      </c>
      <c r="N234">
        <v>0</v>
      </c>
      <c r="O234">
        <v>0</v>
      </c>
      <c r="P234">
        <v>0</v>
      </c>
      <c r="Q234">
        <v>1</v>
      </c>
      <c r="R234">
        <v>1</v>
      </c>
      <c r="S234">
        <v>1</v>
      </c>
      <c r="T234">
        <v>5</v>
      </c>
      <c r="U234">
        <v>0</v>
      </c>
      <c r="V234">
        <v>0</v>
      </c>
      <c r="W234">
        <v>1</v>
      </c>
      <c r="X234">
        <v>1</v>
      </c>
      <c r="Y234">
        <v>40</v>
      </c>
      <c r="Z234">
        <v>25</v>
      </c>
      <c r="AA234">
        <v>0.1</v>
      </c>
      <c r="AB234" s="2" t="s">
        <v>374</v>
      </c>
      <c r="AC234">
        <v>1</v>
      </c>
      <c r="AD234">
        <v>0</v>
      </c>
      <c r="AE234">
        <v>0</v>
      </c>
      <c r="AF234">
        <v>0</v>
      </c>
      <c r="AG234">
        <v>-170</v>
      </c>
      <c r="AH234">
        <v>170</v>
      </c>
      <c r="AI234">
        <v>-1</v>
      </c>
      <c r="AJ234">
        <v>30</v>
      </c>
      <c r="AO234">
        <v>30</v>
      </c>
      <c r="AP234">
        <v>1</v>
      </c>
      <c r="AU234" s="2">
        <v>1</v>
      </c>
      <c r="BA234">
        <v>1</v>
      </c>
      <c r="BB234">
        <v>0.01</v>
      </c>
      <c r="BC234" s="2">
        <v>0.01</v>
      </c>
      <c r="BD234">
        <v>0.01</v>
      </c>
      <c r="BE234" s="2">
        <v>0.01</v>
      </c>
      <c r="BF234" s="2">
        <v>1</v>
      </c>
    </row>
    <row r="235" spans="1:63" hidden="1" x14ac:dyDescent="0.25">
      <c r="A235" t="s">
        <v>285</v>
      </c>
      <c r="B235" t="s">
        <v>482</v>
      </c>
      <c r="C235" t="s">
        <v>387</v>
      </c>
      <c r="D235" t="s">
        <v>388</v>
      </c>
      <c r="E235">
        <v>300</v>
      </c>
      <c r="F235">
        <v>300</v>
      </c>
      <c r="G235" t="s">
        <v>390</v>
      </c>
      <c r="H235" t="s">
        <v>384</v>
      </c>
      <c r="I235" t="s">
        <v>391</v>
      </c>
      <c r="J235" t="s">
        <v>392</v>
      </c>
      <c r="K235">
        <v>1500</v>
      </c>
      <c r="L235">
        <v>800</v>
      </c>
      <c r="M235">
        <v>0</v>
      </c>
      <c r="N235">
        <v>0</v>
      </c>
      <c r="O235">
        <v>0</v>
      </c>
      <c r="P235">
        <v>0</v>
      </c>
      <c r="Q235">
        <v>1</v>
      </c>
      <c r="R235">
        <v>1</v>
      </c>
      <c r="S235">
        <v>1</v>
      </c>
      <c r="T235">
        <v>1.6</v>
      </c>
      <c r="U235">
        <v>0</v>
      </c>
      <c r="V235">
        <v>0</v>
      </c>
      <c r="W235">
        <v>1</v>
      </c>
      <c r="X235">
        <v>0</v>
      </c>
      <c r="Y235">
        <v>40</v>
      </c>
      <c r="Z235">
        <v>25</v>
      </c>
      <c r="AA235">
        <v>0.1</v>
      </c>
      <c r="AB235" t="s">
        <v>451</v>
      </c>
      <c r="AC235">
        <v>1</v>
      </c>
      <c r="AD235">
        <v>0</v>
      </c>
      <c r="AE235">
        <v>0</v>
      </c>
      <c r="AF235">
        <v>0</v>
      </c>
      <c r="AG235">
        <v>-170</v>
      </c>
      <c r="AH235">
        <v>170</v>
      </c>
      <c r="AI235">
        <v>-1</v>
      </c>
      <c r="AJ235">
        <v>30</v>
      </c>
      <c r="AO235">
        <v>30</v>
      </c>
      <c r="AP235">
        <v>1</v>
      </c>
      <c r="BA235">
        <v>1</v>
      </c>
      <c r="BB235">
        <v>2.0000000000000001E-4</v>
      </c>
      <c r="BD235">
        <v>0.35</v>
      </c>
    </row>
    <row r="236" spans="1:63" x14ac:dyDescent="0.25">
      <c r="A236" t="s">
        <v>285</v>
      </c>
      <c r="B236" t="s">
        <v>167</v>
      </c>
      <c r="C236" t="s">
        <v>387</v>
      </c>
      <c r="D236" t="s">
        <v>388</v>
      </c>
      <c r="E236">
        <v>300</v>
      </c>
      <c r="F236">
        <v>300</v>
      </c>
      <c r="G236" t="s">
        <v>390</v>
      </c>
      <c r="H236" t="s">
        <v>384</v>
      </c>
      <c r="I236" t="s">
        <v>391</v>
      </c>
      <c r="J236" t="s">
        <v>392</v>
      </c>
      <c r="K236">
        <v>1500</v>
      </c>
      <c r="L236">
        <v>800</v>
      </c>
      <c r="M236">
        <v>0</v>
      </c>
      <c r="N236">
        <v>0</v>
      </c>
      <c r="O236">
        <v>0</v>
      </c>
      <c r="P236">
        <v>0</v>
      </c>
      <c r="Q236">
        <v>1</v>
      </c>
      <c r="R236">
        <v>1</v>
      </c>
      <c r="S236">
        <v>1</v>
      </c>
      <c r="T236">
        <v>1.6</v>
      </c>
      <c r="U236">
        <v>0</v>
      </c>
      <c r="V236">
        <v>0</v>
      </c>
      <c r="W236">
        <v>1</v>
      </c>
      <c r="X236">
        <v>0</v>
      </c>
      <c r="Y236">
        <v>40</v>
      </c>
      <c r="Z236">
        <v>25</v>
      </c>
      <c r="AA236">
        <v>0.1</v>
      </c>
      <c r="AB236" s="2" t="s">
        <v>374</v>
      </c>
      <c r="AC236">
        <v>1</v>
      </c>
      <c r="AD236">
        <v>0</v>
      </c>
      <c r="AE236">
        <v>0</v>
      </c>
      <c r="AF236">
        <v>0</v>
      </c>
      <c r="AG236">
        <v>-170</v>
      </c>
      <c r="AH236">
        <v>170</v>
      </c>
      <c r="AI236">
        <v>-1</v>
      </c>
      <c r="AJ236">
        <v>30</v>
      </c>
      <c r="AO236">
        <v>30</v>
      </c>
      <c r="AP236">
        <v>1</v>
      </c>
      <c r="BA236">
        <v>1</v>
      </c>
      <c r="BB236">
        <v>2.0000000000000001E-4</v>
      </c>
      <c r="BD236">
        <v>0.35</v>
      </c>
    </row>
    <row r="237" spans="1:63" hidden="1" x14ac:dyDescent="0.25">
      <c r="A237" t="s">
        <v>286</v>
      </c>
      <c r="B237" t="s">
        <v>482</v>
      </c>
      <c r="C237" t="s">
        <v>387</v>
      </c>
      <c r="D237" t="s">
        <v>388</v>
      </c>
      <c r="E237">
        <v>100</v>
      </c>
      <c r="F237">
        <v>100</v>
      </c>
      <c r="G237" t="s">
        <v>390</v>
      </c>
      <c r="H237" t="s">
        <v>384</v>
      </c>
      <c r="I237" t="s">
        <v>414</v>
      </c>
      <c r="J237" t="s">
        <v>392</v>
      </c>
      <c r="K237">
        <v>3500</v>
      </c>
      <c r="L237">
        <v>4500</v>
      </c>
      <c r="M237">
        <v>0</v>
      </c>
      <c r="N237">
        <v>0</v>
      </c>
      <c r="O237">
        <v>0</v>
      </c>
      <c r="P237">
        <v>0</v>
      </c>
      <c r="Q237">
        <v>1</v>
      </c>
      <c r="R237">
        <v>1</v>
      </c>
      <c r="S237">
        <v>1</v>
      </c>
      <c r="T237">
        <v>2.5</v>
      </c>
      <c r="U237">
        <v>0</v>
      </c>
      <c r="V237">
        <v>0</v>
      </c>
      <c r="W237">
        <v>1</v>
      </c>
      <c r="X237">
        <v>0</v>
      </c>
      <c r="Y237">
        <v>120</v>
      </c>
      <c r="Z237">
        <v>120</v>
      </c>
      <c r="AA237">
        <v>0.1</v>
      </c>
      <c r="AB237" t="s">
        <v>451</v>
      </c>
      <c r="AC237">
        <v>1</v>
      </c>
      <c r="AD237">
        <v>0</v>
      </c>
      <c r="AE237">
        <v>0</v>
      </c>
      <c r="AF237">
        <v>0</v>
      </c>
      <c r="AG237">
        <v>-125</v>
      </c>
      <c r="AH237">
        <v>125</v>
      </c>
      <c r="AI237">
        <v>-60</v>
      </c>
      <c r="AJ237">
        <v>-2</v>
      </c>
      <c r="AO237">
        <v>5</v>
      </c>
      <c r="AP237">
        <v>1</v>
      </c>
      <c r="BA237">
        <v>1</v>
      </c>
      <c r="BB237">
        <v>0.08</v>
      </c>
      <c r="BD237">
        <v>0.2</v>
      </c>
    </row>
    <row r="238" spans="1:63" x14ac:dyDescent="0.25">
      <c r="A238" t="s">
        <v>286</v>
      </c>
      <c r="B238" t="s">
        <v>167</v>
      </c>
      <c r="C238" t="s">
        <v>387</v>
      </c>
      <c r="D238" t="s">
        <v>388</v>
      </c>
      <c r="E238">
        <v>100</v>
      </c>
      <c r="F238">
        <v>100</v>
      </c>
      <c r="G238" t="s">
        <v>390</v>
      </c>
      <c r="H238" t="s">
        <v>384</v>
      </c>
      <c r="I238" t="s">
        <v>414</v>
      </c>
      <c r="J238" t="s">
        <v>392</v>
      </c>
      <c r="K238">
        <v>3500</v>
      </c>
      <c r="L238">
        <v>4500</v>
      </c>
      <c r="M238">
        <v>0</v>
      </c>
      <c r="N238">
        <v>0</v>
      </c>
      <c r="O238">
        <v>0</v>
      </c>
      <c r="P238">
        <v>0</v>
      </c>
      <c r="Q238">
        <v>1</v>
      </c>
      <c r="R238">
        <v>1</v>
      </c>
      <c r="S238">
        <v>1</v>
      </c>
      <c r="T238" s="2">
        <v>2</v>
      </c>
      <c r="U238">
        <v>0</v>
      </c>
      <c r="V238">
        <v>0</v>
      </c>
      <c r="W238">
        <v>1</v>
      </c>
      <c r="X238">
        <v>0</v>
      </c>
      <c r="Y238">
        <v>120</v>
      </c>
      <c r="Z238">
        <v>120</v>
      </c>
      <c r="AA238">
        <v>0.1</v>
      </c>
      <c r="AB238" s="2" t="s">
        <v>374</v>
      </c>
      <c r="AC238">
        <v>1</v>
      </c>
      <c r="AD238">
        <v>0</v>
      </c>
      <c r="AE238">
        <v>0</v>
      </c>
      <c r="AF238">
        <v>0</v>
      </c>
      <c r="AG238">
        <v>-125</v>
      </c>
      <c r="AH238">
        <v>125</v>
      </c>
      <c r="AI238">
        <v>-60</v>
      </c>
      <c r="AJ238">
        <v>-2</v>
      </c>
      <c r="AO238">
        <v>5</v>
      </c>
      <c r="AP238">
        <v>1</v>
      </c>
      <c r="BA238">
        <v>1</v>
      </c>
      <c r="BB238">
        <v>0.08</v>
      </c>
      <c r="BC238" s="2">
        <v>0.1</v>
      </c>
      <c r="BD238">
        <v>0.2</v>
      </c>
      <c r="BE238" s="2">
        <v>0.4</v>
      </c>
    </row>
    <row r="239" spans="1:63" hidden="1" x14ac:dyDescent="0.25">
      <c r="A239" t="s">
        <v>287</v>
      </c>
      <c r="B239" t="s">
        <v>482</v>
      </c>
      <c r="C239" t="s">
        <v>387</v>
      </c>
      <c r="D239" t="s">
        <v>388</v>
      </c>
      <c r="E239">
        <v>10</v>
      </c>
      <c r="F239">
        <v>10</v>
      </c>
      <c r="G239" t="s">
        <v>383</v>
      </c>
      <c r="H239" t="s">
        <v>384</v>
      </c>
      <c r="I239" t="s">
        <v>407</v>
      </c>
      <c r="J239" t="s">
        <v>392</v>
      </c>
      <c r="K239">
        <v>900</v>
      </c>
      <c r="L239">
        <v>600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1</v>
      </c>
      <c r="S239">
        <v>0</v>
      </c>
      <c r="T239">
        <v>1.2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0.1</v>
      </c>
      <c r="AB239" t="s">
        <v>451</v>
      </c>
      <c r="AC239">
        <v>0</v>
      </c>
      <c r="AD239">
        <v>0</v>
      </c>
      <c r="AE239">
        <v>0</v>
      </c>
      <c r="AF239">
        <v>10</v>
      </c>
      <c r="AG239">
        <v>0</v>
      </c>
      <c r="AH239">
        <v>0</v>
      </c>
      <c r="AI239">
        <v>0</v>
      </c>
      <c r="AJ239">
        <v>0</v>
      </c>
      <c r="AO239">
        <v>5</v>
      </c>
      <c r="AP239">
        <v>1</v>
      </c>
      <c r="BA239">
        <v>1</v>
      </c>
      <c r="BB239">
        <v>0.12</v>
      </c>
      <c r="BD239">
        <v>0.4</v>
      </c>
    </row>
    <row r="240" spans="1:63" x14ac:dyDescent="0.25">
      <c r="A240" t="s">
        <v>287</v>
      </c>
      <c r="B240" t="s">
        <v>167</v>
      </c>
      <c r="C240" t="s">
        <v>387</v>
      </c>
      <c r="D240" t="s">
        <v>388</v>
      </c>
      <c r="E240">
        <v>10</v>
      </c>
      <c r="F240">
        <v>10</v>
      </c>
      <c r="G240" t="s">
        <v>383</v>
      </c>
      <c r="H240" t="s">
        <v>384</v>
      </c>
      <c r="I240" t="s">
        <v>407</v>
      </c>
      <c r="J240" t="s">
        <v>392</v>
      </c>
      <c r="K240">
        <v>900</v>
      </c>
      <c r="L240">
        <v>600</v>
      </c>
      <c r="M240">
        <v>0</v>
      </c>
      <c r="N240">
        <v>0</v>
      </c>
      <c r="O240">
        <v>0</v>
      </c>
      <c r="P240">
        <v>0</v>
      </c>
      <c r="Q240">
        <v>1</v>
      </c>
      <c r="R240">
        <v>1</v>
      </c>
      <c r="S240">
        <v>0</v>
      </c>
      <c r="T240">
        <v>1.2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0.1</v>
      </c>
      <c r="AB240" s="2" t="s">
        <v>374</v>
      </c>
      <c r="AC240">
        <v>0</v>
      </c>
      <c r="AD240">
        <v>0</v>
      </c>
      <c r="AE240">
        <v>0</v>
      </c>
      <c r="AF240">
        <v>10</v>
      </c>
      <c r="AG240">
        <v>0</v>
      </c>
      <c r="AH240">
        <v>0</v>
      </c>
      <c r="AI240">
        <v>0</v>
      </c>
      <c r="AJ240">
        <v>0</v>
      </c>
      <c r="AO240">
        <v>5</v>
      </c>
      <c r="AP240">
        <v>1</v>
      </c>
      <c r="BA240">
        <v>1</v>
      </c>
      <c r="BB240">
        <v>0.12</v>
      </c>
      <c r="BD240">
        <v>0.4</v>
      </c>
    </row>
    <row r="241" spans="1:57" x14ac:dyDescent="0.25">
      <c r="A241" s="3" t="s">
        <v>372</v>
      </c>
      <c r="B241" t="s">
        <v>167</v>
      </c>
      <c r="C241" t="s">
        <v>387</v>
      </c>
      <c r="D241" t="s">
        <v>388</v>
      </c>
      <c r="E241">
        <v>109</v>
      </c>
      <c r="F241">
        <v>109</v>
      </c>
      <c r="G241" t="s">
        <v>396</v>
      </c>
      <c r="H241" t="s">
        <v>400</v>
      </c>
      <c r="I241" t="s">
        <v>423</v>
      </c>
      <c r="J241" t="s">
        <v>392</v>
      </c>
      <c r="K241">
        <v>0</v>
      </c>
      <c r="L241">
        <v>0</v>
      </c>
      <c r="M241">
        <v>32</v>
      </c>
      <c r="N241">
        <v>2</v>
      </c>
      <c r="O241">
        <v>0</v>
      </c>
      <c r="P241">
        <v>0</v>
      </c>
      <c r="Q241">
        <v>7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0.1</v>
      </c>
      <c r="AB241" t="s">
        <v>374</v>
      </c>
      <c r="AC241">
        <v>1</v>
      </c>
      <c r="AD241">
        <v>0</v>
      </c>
      <c r="AE241">
        <v>0</v>
      </c>
      <c r="AF241">
        <v>180</v>
      </c>
      <c r="AG241">
        <v>0</v>
      </c>
      <c r="AH241">
        <v>0</v>
      </c>
      <c r="AI241">
        <v>0</v>
      </c>
      <c r="AJ241">
        <v>0</v>
      </c>
      <c r="AO241">
        <v>15</v>
      </c>
      <c r="AP241">
        <v>1</v>
      </c>
      <c r="AU241">
        <v>1.1000000000000001</v>
      </c>
      <c r="AV241">
        <v>1.23</v>
      </c>
      <c r="AW241">
        <v>1.9</v>
      </c>
    </row>
    <row r="242" spans="1:57" x14ac:dyDescent="0.25">
      <c r="A242" s="3" t="s">
        <v>524</v>
      </c>
      <c r="B242" t="s">
        <v>167</v>
      </c>
      <c r="C242" t="s">
        <v>387</v>
      </c>
      <c r="D242" t="s">
        <v>388</v>
      </c>
      <c r="E242">
        <v>164</v>
      </c>
      <c r="F242">
        <v>164</v>
      </c>
      <c r="G242" t="s">
        <v>396</v>
      </c>
      <c r="H242" t="s">
        <v>400</v>
      </c>
      <c r="I242" t="s">
        <v>423</v>
      </c>
      <c r="J242" t="s">
        <v>392</v>
      </c>
      <c r="K242">
        <v>0</v>
      </c>
      <c r="L242">
        <v>0</v>
      </c>
      <c r="M242">
        <v>32</v>
      </c>
      <c r="N242">
        <v>2</v>
      </c>
      <c r="O242">
        <v>0</v>
      </c>
      <c r="P242">
        <v>0</v>
      </c>
      <c r="Q242">
        <v>7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0.1</v>
      </c>
      <c r="AB242" t="s">
        <v>374</v>
      </c>
      <c r="AC242">
        <v>1</v>
      </c>
      <c r="AD242">
        <v>0</v>
      </c>
      <c r="AE242">
        <v>0</v>
      </c>
      <c r="AF242">
        <v>180</v>
      </c>
      <c r="AG242">
        <v>0</v>
      </c>
      <c r="AH242">
        <v>0</v>
      </c>
      <c r="AI242">
        <v>0</v>
      </c>
      <c r="AJ242">
        <v>0</v>
      </c>
      <c r="AO242">
        <v>15</v>
      </c>
      <c r="AP242">
        <v>1</v>
      </c>
    </row>
    <row r="243" spans="1:57" hidden="1" x14ac:dyDescent="0.25">
      <c r="A243" t="s">
        <v>288</v>
      </c>
      <c r="B243" t="s">
        <v>482</v>
      </c>
      <c r="C243" t="s">
        <v>387</v>
      </c>
      <c r="D243" t="s">
        <v>388</v>
      </c>
      <c r="E243">
        <v>1500</v>
      </c>
      <c r="F243">
        <v>1500</v>
      </c>
      <c r="G243" t="s">
        <v>396</v>
      </c>
      <c r="H243" t="s">
        <v>397</v>
      </c>
      <c r="I243" t="s">
        <v>424</v>
      </c>
      <c r="J243" t="s">
        <v>392</v>
      </c>
      <c r="K243">
        <v>40</v>
      </c>
      <c r="L243">
        <v>1200</v>
      </c>
      <c r="M243">
        <v>0</v>
      </c>
      <c r="N243">
        <v>0</v>
      </c>
      <c r="O243">
        <v>0</v>
      </c>
      <c r="P243">
        <v>2</v>
      </c>
      <c r="Q243">
        <v>1</v>
      </c>
      <c r="R243">
        <v>0</v>
      </c>
      <c r="S243">
        <v>0</v>
      </c>
      <c r="T243">
        <v>7.5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0.1</v>
      </c>
      <c r="AB243" t="s">
        <v>451</v>
      </c>
      <c r="AC243">
        <v>0</v>
      </c>
      <c r="AD243">
        <v>0</v>
      </c>
      <c r="AE243">
        <v>0</v>
      </c>
      <c r="AF243">
        <v>179</v>
      </c>
      <c r="AG243">
        <v>0</v>
      </c>
      <c r="AH243">
        <v>0</v>
      </c>
      <c r="AI243">
        <v>0</v>
      </c>
      <c r="AJ243">
        <v>0</v>
      </c>
      <c r="AO243">
        <v>5</v>
      </c>
      <c r="AP243">
        <v>1</v>
      </c>
      <c r="BA243">
        <v>1</v>
      </c>
    </row>
    <row r="244" spans="1:57" x14ac:dyDescent="0.25">
      <c r="A244" t="s">
        <v>288</v>
      </c>
      <c r="B244" t="s">
        <v>167</v>
      </c>
      <c r="C244" t="s">
        <v>387</v>
      </c>
      <c r="D244" t="s">
        <v>388</v>
      </c>
      <c r="E244">
        <v>1500</v>
      </c>
      <c r="F244">
        <v>1500</v>
      </c>
      <c r="G244" t="s">
        <v>396</v>
      </c>
      <c r="H244" t="s">
        <v>397</v>
      </c>
      <c r="I244" t="s">
        <v>424</v>
      </c>
      <c r="J244" t="s">
        <v>392</v>
      </c>
      <c r="K244">
        <v>40</v>
      </c>
      <c r="L244">
        <v>1200</v>
      </c>
      <c r="M244">
        <v>0</v>
      </c>
      <c r="N244">
        <v>0</v>
      </c>
      <c r="O244">
        <v>0</v>
      </c>
      <c r="P244">
        <v>2</v>
      </c>
      <c r="Q244">
        <v>1</v>
      </c>
      <c r="R244">
        <v>0</v>
      </c>
      <c r="S244">
        <v>0</v>
      </c>
      <c r="T244">
        <v>7.5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0.1</v>
      </c>
      <c r="AB244" s="2" t="s">
        <v>374</v>
      </c>
      <c r="AC244">
        <v>0</v>
      </c>
      <c r="AD244">
        <v>0</v>
      </c>
      <c r="AE244">
        <v>0</v>
      </c>
      <c r="AF244">
        <v>179</v>
      </c>
      <c r="AG244">
        <v>0</v>
      </c>
      <c r="AH244">
        <v>0</v>
      </c>
      <c r="AI244">
        <v>0</v>
      </c>
      <c r="AJ244">
        <v>0</v>
      </c>
      <c r="AO244">
        <v>5</v>
      </c>
      <c r="AP244">
        <v>1</v>
      </c>
      <c r="BA244">
        <v>1</v>
      </c>
    </row>
    <row r="245" spans="1:57" hidden="1" x14ac:dyDescent="0.25">
      <c r="A245" t="s">
        <v>289</v>
      </c>
      <c r="B245" t="s">
        <v>482</v>
      </c>
      <c r="C245" t="s">
        <v>387</v>
      </c>
      <c r="D245" t="s">
        <v>388</v>
      </c>
      <c r="E245">
        <v>90</v>
      </c>
      <c r="F245">
        <v>90</v>
      </c>
      <c r="G245" t="s">
        <v>396</v>
      </c>
      <c r="H245" t="s">
        <v>397</v>
      </c>
      <c r="I245" t="s">
        <v>423</v>
      </c>
      <c r="J245" t="s">
        <v>392</v>
      </c>
      <c r="K245">
        <v>40</v>
      </c>
      <c r="L245">
        <v>2000</v>
      </c>
      <c r="M245">
        <v>0</v>
      </c>
      <c r="N245">
        <v>0</v>
      </c>
      <c r="O245">
        <v>0</v>
      </c>
      <c r="P245">
        <v>2</v>
      </c>
      <c r="Q245">
        <v>1</v>
      </c>
      <c r="R245">
        <v>0</v>
      </c>
      <c r="S245">
        <v>0</v>
      </c>
      <c r="T245">
        <v>7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0.1</v>
      </c>
      <c r="AB245" t="s">
        <v>451</v>
      </c>
      <c r="AC245">
        <v>0</v>
      </c>
      <c r="AD245">
        <v>0</v>
      </c>
      <c r="AE245">
        <v>0</v>
      </c>
      <c r="AF245">
        <v>180</v>
      </c>
      <c r="AG245">
        <v>0</v>
      </c>
      <c r="AH245">
        <v>0</v>
      </c>
      <c r="AI245">
        <v>0</v>
      </c>
      <c r="AJ245">
        <v>0</v>
      </c>
      <c r="AO245">
        <v>5</v>
      </c>
      <c r="AP245">
        <v>1</v>
      </c>
      <c r="BA245">
        <v>1</v>
      </c>
    </row>
    <row r="246" spans="1:57" x14ac:dyDescent="0.25">
      <c r="A246" t="s">
        <v>289</v>
      </c>
      <c r="B246" t="s">
        <v>167</v>
      </c>
      <c r="C246" t="s">
        <v>387</v>
      </c>
      <c r="D246" t="s">
        <v>388</v>
      </c>
      <c r="E246">
        <v>90</v>
      </c>
      <c r="F246">
        <v>90</v>
      </c>
      <c r="G246" t="s">
        <v>396</v>
      </c>
      <c r="H246" t="s">
        <v>397</v>
      </c>
      <c r="I246" t="s">
        <v>423</v>
      </c>
      <c r="J246" t="s">
        <v>392</v>
      </c>
      <c r="K246">
        <v>40</v>
      </c>
      <c r="L246">
        <v>2000</v>
      </c>
      <c r="M246">
        <v>0</v>
      </c>
      <c r="N246">
        <v>0</v>
      </c>
      <c r="O246">
        <v>0</v>
      </c>
      <c r="P246">
        <v>2</v>
      </c>
      <c r="Q246">
        <v>1</v>
      </c>
      <c r="R246">
        <v>0</v>
      </c>
      <c r="S246">
        <v>0</v>
      </c>
      <c r="T246">
        <v>7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0.1</v>
      </c>
      <c r="AB246" s="2" t="s">
        <v>374</v>
      </c>
      <c r="AC246">
        <v>0</v>
      </c>
      <c r="AD246">
        <v>0</v>
      </c>
      <c r="AE246">
        <v>0</v>
      </c>
      <c r="AF246">
        <v>180</v>
      </c>
      <c r="AG246">
        <v>0</v>
      </c>
      <c r="AH246">
        <v>0</v>
      </c>
      <c r="AI246">
        <v>0</v>
      </c>
      <c r="AJ246">
        <v>0</v>
      </c>
      <c r="AO246">
        <v>5</v>
      </c>
      <c r="AP246">
        <v>1</v>
      </c>
      <c r="BA246">
        <v>1</v>
      </c>
    </row>
    <row r="247" spans="1:57" hidden="1" x14ac:dyDescent="0.25">
      <c r="A247" t="s">
        <v>290</v>
      </c>
      <c r="B247" t="s">
        <v>482</v>
      </c>
      <c r="C247" t="s">
        <v>387</v>
      </c>
      <c r="D247" t="s">
        <v>388</v>
      </c>
      <c r="E247">
        <v>10</v>
      </c>
      <c r="F247">
        <v>10</v>
      </c>
      <c r="G247" t="s">
        <v>383</v>
      </c>
      <c r="H247" t="s">
        <v>384</v>
      </c>
      <c r="I247" t="s">
        <v>407</v>
      </c>
      <c r="J247" t="s">
        <v>392</v>
      </c>
      <c r="K247">
        <v>900</v>
      </c>
      <c r="L247">
        <v>400</v>
      </c>
      <c r="M247">
        <v>0</v>
      </c>
      <c r="N247">
        <v>0</v>
      </c>
      <c r="O247">
        <v>0</v>
      </c>
      <c r="P247">
        <v>0</v>
      </c>
      <c r="Q247">
        <v>1</v>
      </c>
      <c r="R247">
        <v>1</v>
      </c>
      <c r="S247">
        <v>0</v>
      </c>
      <c r="T247">
        <v>0.6</v>
      </c>
      <c r="U247">
        <v>1.3</v>
      </c>
      <c r="V247">
        <v>1.8</v>
      </c>
      <c r="W247">
        <v>0</v>
      </c>
      <c r="X247">
        <v>0</v>
      </c>
      <c r="Y247">
        <v>0</v>
      </c>
      <c r="Z247">
        <v>0</v>
      </c>
      <c r="AA247">
        <v>0.1</v>
      </c>
      <c r="AB247" t="s">
        <v>451</v>
      </c>
      <c r="AC247">
        <v>0</v>
      </c>
      <c r="AD247">
        <v>0</v>
      </c>
      <c r="AE247">
        <v>0</v>
      </c>
      <c r="AO247">
        <v>5</v>
      </c>
      <c r="AP247">
        <v>1</v>
      </c>
      <c r="BA247">
        <v>1</v>
      </c>
      <c r="BB247">
        <v>0.04</v>
      </c>
      <c r="BD247">
        <v>0.15</v>
      </c>
    </row>
    <row r="248" spans="1:57" x14ac:dyDescent="0.25">
      <c r="A248" t="s">
        <v>290</v>
      </c>
      <c r="B248" t="s">
        <v>167</v>
      </c>
      <c r="C248" t="s">
        <v>387</v>
      </c>
      <c r="D248" t="s">
        <v>388</v>
      </c>
      <c r="E248">
        <v>10</v>
      </c>
      <c r="F248">
        <v>10</v>
      </c>
      <c r="G248" t="s">
        <v>383</v>
      </c>
      <c r="H248" t="s">
        <v>384</v>
      </c>
      <c r="I248" t="s">
        <v>407</v>
      </c>
      <c r="J248" t="s">
        <v>392</v>
      </c>
      <c r="K248">
        <v>900</v>
      </c>
      <c r="L248">
        <v>400</v>
      </c>
      <c r="M248">
        <v>0</v>
      </c>
      <c r="N248">
        <v>0</v>
      </c>
      <c r="O248">
        <v>0</v>
      </c>
      <c r="P248">
        <v>0</v>
      </c>
      <c r="Q248">
        <v>1</v>
      </c>
      <c r="R248">
        <v>1</v>
      </c>
      <c r="S248">
        <v>0</v>
      </c>
      <c r="T248">
        <v>0.6</v>
      </c>
      <c r="U248">
        <v>1.3</v>
      </c>
      <c r="V248">
        <v>1.8</v>
      </c>
      <c r="W248">
        <v>0</v>
      </c>
      <c r="X248">
        <v>0</v>
      </c>
      <c r="Y248">
        <v>0</v>
      </c>
      <c r="Z248">
        <v>0</v>
      </c>
      <c r="AA248">
        <v>0.1</v>
      </c>
      <c r="AB248" s="2" t="s">
        <v>374</v>
      </c>
      <c r="AC248">
        <v>0</v>
      </c>
      <c r="AD248">
        <v>0</v>
      </c>
      <c r="AE248">
        <v>0</v>
      </c>
      <c r="AO248">
        <v>5</v>
      </c>
      <c r="AP248">
        <v>1</v>
      </c>
      <c r="BA248">
        <v>1</v>
      </c>
      <c r="BB248">
        <v>0.04</v>
      </c>
      <c r="BD248">
        <v>0.15</v>
      </c>
    </row>
    <row r="249" spans="1:57" hidden="1" x14ac:dyDescent="0.25">
      <c r="A249" t="s">
        <v>291</v>
      </c>
      <c r="B249" t="s">
        <v>482</v>
      </c>
      <c r="C249" t="s">
        <v>387</v>
      </c>
      <c r="D249" t="s">
        <v>388</v>
      </c>
      <c r="E249">
        <v>2700</v>
      </c>
      <c r="F249">
        <v>2700</v>
      </c>
      <c r="G249" t="s">
        <v>396</v>
      </c>
      <c r="H249" t="s">
        <v>397</v>
      </c>
      <c r="I249" t="s">
        <v>424</v>
      </c>
      <c r="J249" t="s">
        <v>392</v>
      </c>
      <c r="K249">
        <v>40</v>
      </c>
      <c r="L249">
        <v>3500</v>
      </c>
      <c r="M249">
        <v>0</v>
      </c>
      <c r="N249">
        <v>0</v>
      </c>
      <c r="O249">
        <v>0</v>
      </c>
      <c r="P249">
        <v>2</v>
      </c>
      <c r="Q249">
        <v>1</v>
      </c>
      <c r="R249">
        <v>0</v>
      </c>
      <c r="S249">
        <v>1</v>
      </c>
      <c r="T249">
        <v>16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0.1</v>
      </c>
      <c r="AB249" t="s">
        <v>451</v>
      </c>
      <c r="AC249">
        <v>0</v>
      </c>
      <c r="AD249">
        <v>1</v>
      </c>
      <c r="AE249">
        <v>0</v>
      </c>
      <c r="AF249">
        <v>180</v>
      </c>
      <c r="AG249">
        <v>0</v>
      </c>
      <c r="AH249">
        <v>0</v>
      </c>
      <c r="AI249">
        <v>0</v>
      </c>
      <c r="AJ249">
        <v>0</v>
      </c>
      <c r="AO249">
        <v>30</v>
      </c>
      <c r="AP249">
        <v>1</v>
      </c>
      <c r="AY249">
        <v>0.2</v>
      </c>
      <c r="BA249">
        <v>1</v>
      </c>
      <c r="BB249">
        <v>0</v>
      </c>
      <c r="BD249">
        <v>0</v>
      </c>
    </row>
    <row r="250" spans="1:57" x14ac:dyDescent="0.25">
      <c r="A250" t="s">
        <v>291</v>
      </c>
      <c r="B250" t="s">
        <v>167</v>
      </c>
      <c r="C250" t="s">
        <v>387</v>
      </c>
      <c r="D250" t="s">
        <v>388</v>
      </c>
      <c r="E250">
        <v>2700</v>
      </c>
      <c r="F250">
        <v>2700</v>
      </c>
      <c r="G250" t="s">
        <v>396</v>
      </c>
      <c r="H250" t="s">
        <v>397</v>
      </c>
      <c r="I250" t="s">
        <v>424</v>
      </c>
      <c r="J250" t="s">
        <v>392</v>
      </c>
      <c r="K250">
        <v>40</v>
      </c>
      <c r="L250" s="2">
        <v>4000</v>
      </c>
      <c r="M250">
        <v>0</v>
      </c>
      <c r="N250">
        <v>0</v>
      </c>
      <c r="O250">
        <v>0</v>
      </c>
      <c r="P250">
        <v>2</v>
      </c>
      <c r="Q250">
        <v>1</v>
      </c>
      <c r="R250">
        <v>0</v>
      </c>
      <c r="S250">
        <v>1</v>
      </c>
      <c r="T250">
        <v>16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0.1</v>
      </c>
      <c r="AB250" s="2" t="s">
        <v>374</v>
      </c>
      <c r="AC250">
        <v>0</v>
      </c>
      <c r="AD250">
        <v>1</v>
      </c>
      <c r="AE250">
        <v>0</v>
      </c>
      <c r="AF250">
        <v>180</v>
      </c>
      <c r="AG250">
        <v>0</v>
      </c>
      <c r="AH250">
        <v>0</v>
      </c>
      <c r="AI250">
        <v>0</v>
      </c>
      <c r="AJ250">
        <v>0</v>
      </c>
      <c r="AO250">
        <v>30</v>
      </c>
      <c r="AP250">
        <v>1</v>
      </c>
      <c r="AU250" s="2">
        <v>1</v>
      </c>
      <c r="AY250">
        <v>0.2</v>
      </c>
      <c r="BA250">
        <v>1</v>
      </c>
      <c r="BB250">
        <v>0</v>
      </c>
      <c r="BC250">
        <v>0</v>
      </c>
      <c r="BD250">
        <v>0</v>
      </c>
      <c r="BE250">
        <v>0</v>
      </c>
    </row>
    <row r="251" spans="1:57" hidden="1" x14ac:dyDescent="0.25">
      <c r="A251" t="s">
        <v>292</v>
      </c>
      <c r="B251" t="s">
        <v>482</v>
      </c>
      <c r="C251" t="s">
        <v>387</v>
      </c>
      <c r="D251" t="s">
        <v>388</v>
      </c>
      <c r="E251">
        <v>5000</v>
      </c>
      <c r="F251">
        <v>5000</v>
      </c>
      <c r="G251" t="s">
        <v>396</v>
      </c>
      <c r="H251" t="s">
        <v>397</v>
      </c>
      <c r="I251" t="s">
        <v>424</v>
      </c>
      <c r="J251" t="s">
        <v>392</v>
      </c>
      <c r="K251">
        <v>40</v>
      </c>
      <c r="L251">
        <v>6000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1</v>
      </c>
      <c r="T251">
        <v>30</v>
      </c>
      <c r="U251">
        <v>0</v>
      </c>
      <c r="V251">
        <v>0</v>
      </c>
      <c r="W251">
        <v>1</v>
      </c>
      <c r="X251">
        <v>1</v>
      </c>
      <c r="Y251">
        <v>0</v>
      </c>
      <c r="Z251">
        <v>0</v>
      </c>
      <c r="AA251">
        <v>0.1</v>
      </c>
      <c r="AB251" t="s">
        <v>451</v>
      </c>
      <c r="AC251">
        <v>0</v>
      </c>
      <c r="AD251">
        <v>0</v>
      </c>
      <c r="AE251">
        <v>0</v>
      </c>
      <c r="AF251">
        <v>180</v>
      </c>
      <c r="AG251">
        <v>0</v>
      </c>
      <c r="AH251">
        <v>0</v>
      </c>
      <c r="AI251">
        <v>0</v>
      </c>
      <c r="AJ251">
        <v>0</v>
      </c>
      <c r="AO251">
        <v>50</v>
      </c>
      <c r="AP251">
        <v>1</v>
      </c>
      <c r="AU251">
        <v>0.6</v>
      </c>
      <c r="AY251">
        <v>0.3</v>
      </c>
      <c r="BA251">
        <v>1</v>
      </c>
      <c r="BB251">
        <v>0</v>
      </c>
      <c r="BD251">
        <v>0</v>
      </c>
    </row>
    <row r="252" spans="1:57" x14ac:dyDescent="0.25">
      <c r="A252" t="s">
        <v>292</v>
      </c>
      <c r="B252" t="s">
        <v>167</v>
      </c>
      <c r="C252" t="s">
        <v>387</v>
      </c>
      <c r="D252" t="s">
        <v>388</v>
      </c>
      <c r="E252">
        <v>5000</v>
      </c>
      <c r="F252">
        <v>5000</v>
      </c>
      <c r="G252" t="s">
        <v>396</v>
      </c>
      <c r="H252" t="s">
        <v>397</v>
      </c>
      <c r="I252" t="s">
        <v>424</v>
      </c>
      <c r="J252" t="s">
        <v>392</v>
      </c>
      <c r="K252">
        <v>40</v>
      </c>
      <c r="L252">
        <v>6000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>
        <v>1</v>
      </c>
      <c r="T252" s="2">
        <v>25</v>
      </c>
      <c r="U252">
        <v>0</v>
      </c>
      <c r="V252">
        <v>0</v>
      </c>
      <c r="W252">
        <v>1</v>
      </c>
      <c r="X252">
        <v>1</v>
      </c>
      <c r="Y252">
        <v>0</v>
      </c>
      <c r="Z252">
        <v>0</v>
      </c>
      <c r="AA252">
        <v>0.1</v>
      </c>
      <c r="AB252" s="2" t="s">
        <v>374</v>
      </c>
      <c r="AC252">
        <v>0</v>
      </c>
      <c r="AD252">
        <v>0</v>
      </c>
      <c r="AE252">
        <v>0</v>
      </c>
      <c r="AF252">
        <v>180</v>
      </c>
      <c r="AG252">
        <v>0</v>
      </c>
      <c r="AH252">
        <v>0</v>
      </c>
      <c r="AI252">
        <v>0</v>
      </c>
      <c r="AJ252">
        <v>0</v>
      </c>
      <c r="AO252">
        <v>50</v>
      </c>
      <c r="AP252">
        <v>1</v>
      </c>
      <c r="AU252" s="2">
        <v>0.59</v>
      </c>
      <c r="AV252" s="2">
        <v>1.26</v>
      </c>
      <c r="AY252">
        <v>0.3</v>
      </c>
      <c r="BA252">
        <v>1</v>
      </c>
      <c r="BB252">
        <v>0</v>
      </c>
      <c r="BC252">
        <v>0</v>
      </c>
      <c r="BD252">
        <v>0</v>
      </c>
      <c r="BE252">
        <v>0</v>
      </c>
    </row>
    <row r="253" spans="1:57" hidden="1" x14ac:dyDescent="0.25">
      <c r="A253" t="s">
        <v>293</v>
      </c>
      <c r="B253" t="s">
        <v>482</v>
      </c>
      <c r="C253" t="s">
        <v>387</v>
      </c>
      <c r="D253" t="s">
        <v>388</v>
      </c>
      <c r="E253">
        <v>950</v>
      </c>
      <c r="F253">
        <v>950</v>
      </c>
      <c r="G253" t="s">
        <v>396</v>
      </c>
      <c r="H253" t="s">
        <v>397</v>
      </c>
      <c r="I253" t="s">
        <v>424</v>
      </c>
      <c r="J253" t="s">
        <v>392</v>
      </c>
      <c r="K253">
        <v>40</v>
      </c>
      <c r="L253">
        <v>6000</v>
      </c>
      <c r="M253">
        <v>0</v>
      </c>
      <c r="N253">
        <v>0</v>
      </c>
      <c r="O253">
        <v>0</v>
      </c>
      <c r="P253">
        <v>0</v>
      </c>
      <c r="Q253">
        <v>1</v>
      </c>
      <c r="R253">
        <v>0</v>
      </c>
      <c r="S253">
        <v>1</v>
      </c>
      <c r="T253">
        <v>15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0.1</v>
      </c>
      <c r="AB253" t="s">
        <v>451</v>
      </c>
      <c r="AC253">
        <v>0</v>
      </c>
      <c r="AD253">
        <v>1</v>
      </c>
      <c r="AE253">
        <v>0</v>
      </c>
      <c r="AF253">
        <v>180</v>
      </c>
      <c r="AG253">
        <v>0</v>
      </c>
      <c r="AH253">
        <v>0</v>
      </c>
      <c r="AI253">
        <v>0</v>
      </c>
      <c r="AJ253">
        <v>0</v>
      </c>
      <c r="AO253">
        <v>30</v>
      </c>
      <c r="AP253">
        <v>1</v>
      </c>
      <c r="AX253">
        <v>0.5</v>
      </c>
      <c r="BA253">
        <v>1</v>
      </c>
      <c r="BB253">
        <v>0</v>
      </c>
      <c r="BD253">
        <v>0</v>
      </c>
    </row>
    <row r="254" spans="1:57" x14ac:dyDescent="0.25">
      <c r="A254" t="s">
        <v>293</v>
      </c>
      <c r="B254" t="s">
        <v>167</v>
      </c>
      <c r="C254" t="s">
        <v>387</v>
      </c>
      <c r="D254" t="s">
        <v>388</v>
      </c>
      <c r="E254" s="2">
        <v>1000</v>
      </c>
      <c r="F254" s="2">
        <v>1000</v>
      </c>
      <c r="G254" t="s">
        <v>396</v>
      </c>
      <c r="H254" t="s">
        <v>397</v>
      </c>
      <c r="I254" t="s">
        <v>424</v>
      </c>
      <c r="J254" t="s">
        <v>392</v>
      </c>
      <c r="K254">
        <v>40</v>
      </c>
      <c r="L254">
        <v>6000</v>
      </c>
      <c r="M254">
        <v>0</v>
      </c>
      <c r="N254">
        <v>0</v>
      </c>
      <c r="O254">
        <v>0</v>
      </c>
      <c r="P254">
        <v>0</v>
      </c>
      <c r="Q254">
        <v>1</v>
      </c>
      <c r="R254">
        <v>0</v>
      </c>
      <c r="S254">
        <v>1</v>
      </c>
      <c r="T254" s="2">
        <v>11</v>
      </c>
      <c r="U254">
        <v>0</v>
      </c>
      <c r="V254">
        <v>0</v>
      </c>
      <c r="W254">
        <v>1</v>
      </c>
      <c r="X254">
        <v>0</v>
      </c>
      <c r="Y254">
        <v>0</v>
      </c>
      <c r="Z254">
        <v>0</v>
      </c>
      <c r="AA254">
        <v>0.1</v>
      </c>
      <c r="AB254" s="2" t="s">
        <v>374</v>
      </c>
      <c r="AC254">
        <v>0</v>
      </c>
      <c r="AD254">
        <v>1</v>
      </c>
      <c r="AE254">
        <v>0</v>
      </c>
      <c r="AF254">
        <v>180</v>
      </c>
      <c r="AG254">
        <v>0</v>
      </c>
      <c r="AH254">
        <v>0</v>
      </c>
      <c r="AI254">
        <v>0</v>
      </c>
      <c r="AJ254">
        <v>0</v>
      </c>
      <c r="AO254">
        <v>30</v>
      </c>
      <c r="AP254">
        <v>1</v>
      </c>
      <c r="AX254">
        <v>0.5</v>
      </c>
      <c r="BA254">
        <v>1</v>
      </c>
      <c r="BB254">
        <v>0</v>
      </c>
      <c r="BC254">
        <v>0</v>
      </c>
      <c r="BD254">
        <v>0</v>
      </c>
      <c r="BE254">
        <v>0</v>
      </c>
    </row>
    <row r="255" spans="1:57" hidden="1" x14ac:dyDescent="0.25">
      <c r="A255" t="s">
        <v>294</v>
      </c>
      <c r="B255" t="s">
        <v>482</v>
      </c>
      <c r="C255" t="s">
        <v>387</v>
      </c>
      <c r="D255" t="s">
        <v>388</v>
      </c>
      <c r="E255">
        <v>2700</v>
      </c>
      <c r="F255">
        <v>2700</v>
      </c>
      <c r="G255" t="s">
        <v>396</v>
      </c>
      <c r="H255" t="s">
        <v>397</v>
      </c>
      <c r="I255" t="s">
        <v>424</v>
      </c>
      <c r="J255" t="s">
        <v>392</v>
      </c>
      <c r="K255">
        <v>40</v>
      </c>
      <c r="L255">
        <v>4500</v>
      </c>
      <c r="M255">
        <v>0</v>
      </c>
      <c r="N255">
        <v>0</v>
      </c>
      <c r="O255">
        <v>0</v>
      </c>
      <c r="P255">
        <v>0</v>
      </c>
      <c r="Q255">
        <v>1</v>
      </c>
      <c r="R255">
        <v>0</v>
      </c>
      <c r="S255">
        <v>0</v>
      </c>
      <c r="T255">
        <v>20</v>
      </c>
      <c r="U255">
        <v>0</v>
      </c>
      <c r="V255">
        <v>0</v>
      </c>
      <c r="W255">
        <v>1</v>
      </c>
      <c r="X255">
        <v>1</v>
      </c>
      <c r="Y255">
        <v>0</v>
      </c>
      <c r="Z255">
        <v>0</v>
      </c>
      <c r="AA255">
        <v>0.1</v>
      </c>
      <c r="AB255" t="s">
        <v>451</v>
      </c>
      <c r="AC255">
        <v>0</v>
      </c>
      <c r="AD255">
        <v>0</v>
      </c>
      <c r="AE255">
        <v>0</v>
      </c>
      <c r="AF255">
        <v>180</v>
      </c>
      <c r="AG255">
        <v>0</v>
      </c>
      <c r="AH255">
        <v>0</v>
      </c>
      <c r="AI255">
        <v>0</v>
      </c>
      <c r="AJ255">
        <v>0</v>
      </c>
      <c r="AO255">
        <v>5</v>
      </c>
      <c r="AP255">
        <v>1</v>
      </c>
      <c r="AY255">
        <v>0.2</v>
      </c>
      <c r="BA255">
        <v>1</v>
      </c>
      <c r="BB255">
        <v>0</v>
      </c>
      <c r="BD255">
        <v>0</v>
      </c>
    </row>
    <row r="256" spans="1:57" x14ac:dyDescent="0.25">
      <c r="A256" t="s">
        <v>294</v>
      </c>
      <c r="B256" t="s">
        <v>167</v>
      </c>
      <c r="C256" t="s">
        <v>387</v>
      </c>
      <c r="D256" t="s">
        <v>388</v>
      </c>
      <c r="E256">
        <v>2700</v>
      </c>
      <c r="F256">
        <v>2700</v>
      </c>
      <c r="G256" t="s">
        <v>396</v>
      </c>
      <c r="H256" t="s">
        <v>397</v>
      </c>
      <c r="I256" t="s">
        <v>424</v>
      </c>
      <c r="J256" t="s">
        <v>392</v>
      </c>
      <c r="K256">
        <v>40</v>
      </c>
      <c r="L256">
        <v>4500</v>
      </c>
      <c r="M256">
        <v>0</v>
      </c>
      <c r="N256">
        <v>0</v>
      </c>
      <c r="O256">
        <v>0</v>
      </c>
      <c r="P256">
        <v>0</v>
      </c>
      <c r="Q256">
        <v>1</v>
      </c>
      <c r="R256">
        <v>0</v>
      </c>
      <c r="S256">
        <v>0</v>
      </c>
      <c r="T256">
        <v>20</v>
      </c>
      <c r="U256">
        <v>0</v>
      </c>
      <c r="V256">
        <v>0</v>
      </c>
      <c r="W256">
        <v>1</v>
      </c>
      <c r="X256">
        <v>1</v>
      </c>
      <c r="Y256">
        <v>0</v>
      </c>
      <c r="Z256">
        <v>0</v>
      </c>
      <c r="AA256">
        <v>0.1</v>
      </c>
      <c r="AB256" s="2" t="s">
        <v>374</v>
      </c>
      <c r="AC256">
        <v>0</v>
      </c>
      <c r="AD256">
        <v>0</v>
      </c>
      <c r="AE256">
        <v>0</v>
      </c>
      <c r="AF256">
        <v>180</v>
      </c>
      <c r="AG256">
        <v>0</v>
      </c>
      <c r="AH256">
        <v>0</v>
      </c>
      <c r="AI256">
        <v>0</v>
      </c>
      <c r="AJ256">
        <v>0</v>
      </c>
      <c r="AO256">
        <v>5</v>
      </c>
      <c r="AP256">
        <v>1</v>
      </c>
      <c r="AU256" s="2">
        <v>1</v>
      </c>
      <c r="AY256">
        <v>0.2</v>
      </c>
      <c r="BA256">
        <v>1</v>
      </c>
      <c r="BB256">
        <v>0</v>
      </c>
      <c r="BC256">
        <v>0</v>
      </c>
      <c r="BD256">
        <v>0</v>
      </c>
      <c r="BE256">
        <v>0</v>
      </c>
    </row>
    <row r="257" spans="1:63" hidden="1" x14ac:dyDescent="0.25">
      <c r="A257" t="s">
        <v>295</v>
      </c>
      <c r="B257" t="s">
        <v>482</v>
      </c>
      <c r="C257" t="s">
        <v>387</v>
      </c>
      <c r="D257" t="s">
        <v>388</v>
      </c>
      <c r="E257">
        <v>4500</v>
      </c>
      <c r="F257">
        <v>4500</v>
      </c>
      <c r="G257" t="s">
        <v>383</v>
      </c>
      <c r="H257" t="s">
        <v>393</v>
      </c>
      <c r="I257" t="s">
        <v>422</v>
      </c>
      <c r="J257" t="s">
        <v>392</v>
      </c>
      <c r="K257">
        <v>0</v>
      </c>
      <c r="L257">
        <v>1400</v>
      </c>
      <c r="M257">
        <v>0</v>
      </c>
      <c r="N257">
        <v>3</v>
      </c>
      <c r="O257">
        <v>0</v>
      </c>
      <c r="P257">
        <v>0</v>
      </c>
      <c r="Q257">
        <v>10</v>
      </c>
      <c r="R257">
        <v>0</v>
      </c>
      <c r="S257">
        <v>1</v>
      </c>
      <c r="T257">
        <v>5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0.1</v>
      </c>
      <c r="AB257" t="s">
        <v>451</v>
      </c>
      <c r="AC257">
        <v>0</v>
      </c>
      <c r="AD257">
        <v>0</v>
      </c>
      <c r="AE257">
        <v>300</v>
      </c>
      <c r="AO257">
        <v>5</v>
      </c>
      <c r="AP257">
        <v>1</v>
      </c>
      <c r="BA257">
        <v>1</v>
      </c>
    </row>
    <row r="258" spans="1:63" x14ac:dyDescent="0.25">
      <c r="A258" t="s">
        <v>295</v>
      </c>
      <c r="B258" t="s">
        <v>167</v>
      </c>
      <c r="C258" t="s">
        <v>387</v>
      </c>
      <c r="D258" t="s">
        <v>388</v>
      </c>
      <c r="E258">
        <v>4500</v>
      </c>
      <c r="F258">
        <v>4500</v>
      </c>
      <c r="G258" t="s">
        <v>383</v>
      </c>
      <c r="H258" t="s">
        <v>393</v>
      </c>
      <c r="I258" t="s">
        <v>422</v>
      </c>
      <c r="J258" t="s">
        <v>392</v>
      </c>
      <c r="K258">
        <v>0</v>
      </c>
      <c r="L258">
        <v>1400</v>
      </c>
      <c r="M258">
        <v>0</v>
      </c>
      <c r="N258">
        <v>3</v>
      </c>
      <c r="O258">
        <v>0</v>
      </c>
      <c r="P258">
        <v>0</v>
      </c>
      <c r="Q258">
        <v>10</v>
      </c>
      <c r="R258">
        <v>0</v>
      </c>
      <c r="S258">
        <v>1</v>
      </c>
      <c r="T258">
        <v>5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0.1</v>
      </c>
      <c r="AB258" s="2" t="s">
        <v>374</v>
      </c>
      <c r="AC258">
        <v>0</v>
      </c>
      <c r="AD258">
        <v>0</v>
      </c>
      <c r="AE258">
        <v>300</v>
      </c>
      <c r="AO258">
        <v>5</v>
      </c>
      <c r="AP258">
        <v>1</v>
      </c>
      <c r="BA258">
        <v>1</v>
      </c>
    </row>
    <row r="259" spans="1:63" hidden="1" x14ac:dyDescent="0.25">
      <c r="A259" t="s">
        <v>296</v>
      </c>
      <c r="B259" t="s">
        <v>482</v>
      </c>
      <c r="C259" t="s">
        <v>387</v>
      </c>
      <c r="D259" t="s">
        <v>388</v>
      </c>
      <c r="E259">
        <v>20</v>
      </c>
      <c r="F259">
        <v>20</v>
      </c>
      <c r="G259" t="s">
        <v>383</v>
      </c>
      <c r="H259" t="s">
        <v>384</v>
      </c>
      <c r="I259" t="s">
        <v>416</v>
      </c>
      <c r="J259" t="s">
        <v>392</v>
      </c>
      <c r="K259">
        <v>2500</v>
      </c>
      <c r="L259">
        <v>2200</v>
      </c>
      <c r="M259">
        <v>0</v>
      </c>
      <c r="N259">
        <v>0</v>
      </c>
      <c r="O259">
        <v>0</v>
      </c>
      <c r="P259">
        <v>0</v>
      </c>
      <c r="Q259">
        <v>1</v>
      </c>
      <c r="R259">
        <v>1</v>
      </c>
      <c r="S259">
        <v>0</v>
      </c>
      <c r="T259">
        <v>0.2</v>
      </c>
      <c r="U259">
        <v>0.7</v>
      </c>
      <c r="V259">
        <v>0.5</v>
      </c>
      <c r="W259">
        <v>1</v>
      </c>
      <c r="X259">
        <v>0</v>
      </c>
      <c r="Y259">
        <v>80</v>
      </c>
      <c r="Z259">
        <v>40</v>
      </c>
      <c r="AA259">
        <v>0.1</v>
      </c>
      <c r="AB259" t="s">
        <v>451</v>
      </c>
      <c r="AC259">
        <v>0</v>
      </c>
      <c r="AD259">
        <v>0</v>
      </c>
      <c r="AE259">
        <v>0</v>
      </c>
      <c r="AF259">
        <v>30</v>
      </c>
      <c r="AG259">
        <v>0</v>
      </c>
      <c r="AH259">
        <v>0</v>
      </c>
      <c r="AI259">
        <v>0</v>
      </c>
      <c r="AJ259">
        <v>0</v>
      </c>
      <c r="AO259">
        <v>5</v>
      </c>
      <c r="AP259">
        <v>1</v>
      </c>
      <c r="BA259">
        <v>1</v>
      </c>
      <c r="BB259">
        <v>0.12</v>
      </c>
      <c r="BD259">
        <v>0.45</v>
      </c>
    </row>
    <row r="260" spans="1:63" x14ac:dyDescent="0.25">
      <c r="A260" t="s">
        <v>296</v>
      </c>
      <c r="B260" t="s">
        <v>167</v>
      </c>
      <c r="C260" t="s">
        <v>387</v>
      </c>
      <c r="D260" t="s">
        <v>388</v>
      </c>
      <c r="E260" s="2">
        <v>5</v>
      </c>
      <c r="F260" s="2">
        <v>8</v>
      </c>
      <c r="G260" t="s">
        <v>383</v>
      </c>
      <c r="H260" t="s">
        <v>384</v>
      </c>
      <c r="I260" s="2" t="s">
        <v>414</v>
      </c>
      <c r="J260" t="s">
        <v>392</v>
      </c>
      <c r="K260" s="2">
        <v>1500</v>
      </c>
      <c r="L260">
        <v>2200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1</v>
      </c>
      <c r="S260">
        <v>0</v>
      </c>
      <c r="T260" s="2">
        <v>0.3</v>
      </c>
      <c r="U260" s="2">
        <v>2</v>
      </c>
      <c r="V260" s="2">
        <v>2</v>
      </c>
      <c r="W260" s="2">
        <v>0</v>
      </c>
      <c r="X260">
        <v>0</v>
      </c>
      <c r="Y260" s="2">
        <v>0</v>
      </c>
      <c r="Z260" s="2">
        <v>0</v>
      </c>
      <c r="AA260">
        <v>0.1</v>
      </c>
      <c r="AB260" s="2" t="s">
        <v>374</v>
      </c>
      <c r="AC260">
        <v>0</v>
      </c>
      <c r="AD260">
        <v>0</v>
      </c>
      <c r="AE260">
        <v>0</v>
      </c>
      <c r="AF260" s="2">
        <v>90</v>
      </c>
      <c r="AG260">
        <v>0</v>
      </c>
      <c r="AH260">
        <v>0</v>
      </c>
      <c r="AI260">
        <v>0</v>
      </c>
      <c r="AJ260">
        <v>0</v>
      </c>
      <c r="AO260">
        <v>5</v>
      </c>
      <c r="AP260">
        <v>1</v>
      </c>
      <c r="AQ260" s="2">
        <v>1</v>
      </c>
      <c r="AR260" s="2">
        <v>2</v>
      </c>
      <c r="AS260" s="2">
        <v>2</v>
      </c>
      <c r="AT260" s="2">
        <v>4</v>
      </c>
      <c r="AW260" s="2">
        <v>3</v>
      </c>
      <c r="AX260" s="2">
        <v>0.75</v>
      </c>
      <c r="BA260" s="2">
        <v>0</v>
      </c>
      <c r="BB260" s="2">
        <v>0.16</v>
      </c>
      <c r="BC260" s="2">
        <v>0.16</v>
      </c>
      <c r="BD260" s="2">
        <v>0.5</v>
      </c>
      <c r="BE260" s="2">
        <v>0.5</v>
      </c>
      <c r="BK260" s="2">
        <v>0.6</v>
      </c>
    </row>
    <row r="261" spans="1:63" hidden="1" x14ac:dyDescent="0.25">
      <c r="A261" t="s">
        <v>297</v>
      </c>
      <c r="B261" t="s">
        <v>482</v>
      </c>
      <c r="C261" t="s">
        <v>387</v>
      </c>
      <c r="D261" t="s">
        <v>426</v>
      </c>
      <c r="E261">
        <v>0</v>
      </c>
      <c r="F261">
        <v>0</v>
      </c>
      <c r="G261" t="s">
        <v>396</v>
      </c>
      <c r="H261" t="s">
        <v>397</v>
      </c>
      <c r="I261" t="s">
        <v>425</v>
      </c>
      <c r="J261" t="s">
        <v>413</v>
      </c>
      <c r="K261">
        <v>60</v>
      </c>
      <c r="L261">
        <v>2000</v>
      </c>
      <c r="M261">
        <v>0</v>
      </c>
      <c r="N261">
        <v>0</v>
      </c>
      <c r="O261">
        <v>0</v>
      </c>
      <c r="P261">
        <v>0</v>
      </c>
      <c r="Q261">
        <v>1</v>
      </c>
      <c r="R261">
        <v>0</v>
      </c>
      <c r="S261">
        <v>0</v>
      </c>
      <c r="T261">
        <v>7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0.1</v>
      </c>
      <c r="AB261" t="s">
        <v>451</v>
      </c>
      <c r="AC261">
        <v>0</v>
      </c>
      <c r="AD261">
        <v>1</v>
      </c>
      <c r="AE261">
        <v>0</v>
      </c>
      <c r="AF261">
        <v>180</v>
      </c>
      <c r="AG261">
        <v>0</v>
      </c>
      <c r="AH261">
        <v>0</v>
      </c>
      <c r="AI261">
        <v>0</v>
      </c>
      <c r="AJ261">
        <v>0</v>
      </c>
      <c r="AO261">
        <v>5</v>
      </c>
      <c r="AP261">
        <v>1</v>
      </c>
      <c r="BA261">
        <v>1</v>
      </c>
    </row>
    <row r="262" spans="1:63" x14ac:dyDescent="0.25">
      <c r="A262" t="s">
        <v>297</v>
      </c>
      <c r="B262" t="s">
        <v>167</v>
      </c>
      <c r="C262" t="s">
        <v>387</v>
      </c>
      <c r="D262" t="s">
        <v>426</v>
      </c>
      <c r="E262">
        <v>0</v>
      </c>
      <c r="F262">
        <v>0</v>
      </c>
      <c r="G262" t="s">
        <v>396</v>
      </c>
      <c r="H262" t="s">
        <v>397</v>
      </c>
      <c r="I262" t="s">
        <v>425</v>
      </c>
      <c r="J262" t="s">
        <v>413</v>
      </c>
      <c r="K262">
        <v>60</v>
      </c>
      <c r="L262">
        <v>2000</v>
      </c>
      <c r="M262">
        <v>0</v>
      </c>
      <c r="N262">
        <v>0</v>
      </c>
      <c r="O262">
        <v>0</v>
      </c>
      <c r="P262">
        <v>0</v>
      </c>
      <c r="Q262">
        <v>1</v>
      </c>
      <c r="R262">
        <v>0</v>
      </c>
      <c r="S262">
        <v>0</v>
      </c>
      <c r="T262">
        <v>7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0.1</v>
      </c>
      <c r="AB262" s="2" t="s">
        <v>374</v>
      </c>
      <c r="AC262">
        <v>0</v>
      </c>
      <c r="AD262">
        <v>1</v>
      </c>
      <c r="AE262">
        <v>0</v>
      </c>
      <c r="AF262">
        <v>180</v>
      </c>
      <c r="AG262">
        <v>0</v>
      </c>
      <c r="AH262">
        <v>0</v>
      </c>
      <c r="AI262">
        <v>0</v>
      </c>
      <c r="AJ262">
        <v>0</v>
      </c>
      <c r="AO262">
        <v>5</v>
      </c>
      <c r="AP262">
        <v>1</v>
      </c>
      <c r="BA262">
        <v>1</v>
      </c>
    </row>
    <row r="263" spans="1:63" hidden="1" x14ac:dyDescent="0.25">
      <c r="A263" t="s">
        <v>298</v>
      </c>
      <c r="B263" t="s">
        <v>482</v>
      </c>
      <c r="C263" t="s">
        <v>387</v>
      </c>
      <c r="D263" t="s">
        <v>388</v>
      </c>
      <c r="E263">
        <v>350</v>
      </c>
      <c r="F263">
        <v>350</v>
      </c>
      <c r="G263" t="s">
        <v>383</v>
      </c>
      <c r="H263" t="s">
        <v>384</v>
      </c>
      <c r="I263" t="s">
        <v>427</v>
      </c>
      <c r="J263" t="s">
        <v>399</v>
      </c>
      <c r="K263">
        <v>2600</v>
      </c>
      <c r="L263">
        <v>1800</v>
      </c>
      <c r="M263">
        <v>0</v>
      </c>
      <c r="N263">
        <v>0</v>
      </c>
      <c r="O263">
        <v>0</v>
      </c>
      <c r="P263">
        <v>0</v>
      </c>
      <c r="Q263">
        <v>1</v>
      </c>
      <c r="R263">
        <v>1</v>
      </c>
      <c r="S263">
        <v>0</v>
      </c>
      <c r="T263">
        <v>1</v>
      </c>
      <c r="U263">
        <v>2</v>
      </c>
      <c r="V263">
        <v>2</v>
      </c>
      <c r="W263">
        <v>0</v>
      </c>
      <c r="X263">
        <v>0</v>
      </c>
      <c r="Y263">
        <v>260</v>
      </c>
      <c r="Z263">
        <v>40</v>
      </c>
      <c r="AA263">
        <v>0.1</v>
      </c>
      <c r="AB263" t="s">
        <v>451</v>
      </c>
      <c r="AC263">
        <v>0</v>
      </c>
      <c r="AD263">
        <v>0</v>
      </c>
      <c r="AE263">
        <v>0</v>
      </c>
      <c r="AF263">
        <v>10</v>
      </c>
      <c r="AG263">
        <v>0</v>
      </c>
      <c r="AH263">
        <v>0</v>
      </c>
      <c r="AI263">
        <v>0</v>
      </c>
      <c r="AJ263">
        <v>0</v>
      </c>
      <c r="AO263">
        <v>5</v>
      </c>
      <c r="AP263">
        <v>1</v>
      </c>
      <c r="AW263">
        <v>0.5</v>
      </c>
      <c r="AX263">
        <v>0.24</v>
      </c>
      <c r="AY263">
        <v>0.25</v>
      </c>
      <c r="BA263">
        <v>1</v>
      </c>
      <c r="BB263">
        <v>0.04</v>
      </c>
      <c r="BD263">
        <v>3.5000000000000003E-2</v>
      </c>
    </row>
    <row r="264" spans="1:63" x14ac:dyDescent="0.25">
      <c r="A264" t="s">
        <v>298</v>
      </c>
      <c r="B264" t="s">
        <v>167</v>
      </c>
      <c r="C264" t="s">
        <v>387</v>
      </c>
      <c r="D264" t="s">
        <v>388</v>
      </c>
      <c r="E264" s="2">
        <v>320</v>
      </c>
      <c r="F264" s="2">
        <v>320</v>
      </c>
      <c r="G264" t="s">
        <v>383</v>
      </c>
      <c r="H264" t="s">
        <v>384</v>
      </c>
      <c r="I264" t="s">
        <v>427</v>
      </c>
      <c r="J264" t="s">
        <v>399</v>
      </c>
      <c r="K264">
        <v>2600</v>
      </c>
      <c r="L264" s="2" t="s">
        <v>373</v>
      </c>
      <c r="M264">
        <v>0</v>
      </c>
      <c r="N264">
        <v>0</v>
      </c>
      <c r="O264">
        <v>0</v>
      </c>
      <c r="P264">
        <v>0</v>
      </c>
      <c r="Q264">
        <v>1</v>
      </c>
      <c r="R264">
        <v>1</v>
      </c>
      <c r="S264">
        <v>0</v>
      </c>
      <c r="T264" s="2">
        <v>1.6</v>
      </c>
      <c r="U264" s="2">
        <v>0</v>
      </c>
      <c r="V264" s="2">
        <v>0</v>
      </c>
      <c r="W264">
        <v>0</v>
      </c>
      <c r="X264">
        <v>0</v>
      </c>
      <c r="Y264">
        <v>260</v>
      </c>
      <c r="Z264">
        <v>40</v>
      </c>
      <c r="AA264">
        <v>0.1</v>
      </c>
      <c r="AB264" s="2" t="s">
        <v>374</v>
      </c>
      <c r="AC264">
        <v>0</v>
      </c>
      <c r="AD264">
        <v>0</v>
      </c>
      <c r="AE264">
        <v>0</v>
      </c>
      <c r="AF264">
        <v>10</v>
      </c>
      <c r="AG264">
        <v>0</v>
      </c>
      <c r="AH264">
        <v>0</v>
      </c>
      <c r="AI264">
        <v>0</v>
      </c>
      <c r="AJ264">
        <v>0</v>
      </c>
      <c r="AO264">
        <v>5</v>
      </c>
      <c r="AP264">
        <v>1</v>
      </c>
      <c r="AU264" s="2">
        <v>0.8</v>
      </c>
      <c r="AW264">
        <v>0.5</v>
      </c>
      <c r="AX264">
        <v>0.24</v>
      </c>
      <c r="AY264">
        <v>0.25</v>
      </c>
      <c r="BA264">
        <v>1</v>
      </c>
      <c r="BB264" s="2">
        <v>0.02</v>
      </c>
      <c r="BC264" s="2">
        <v>0.02</v>
      </c>
      <c r="BD264" s="2">
        <v>0.02</v>
      </c>
      <c r="BE264" s="2">
        <v>0.02</v>
      </c>
      <c r="BF264" s="2">
        <v>0.7</v>
      </c>
    </row>
    <row r="265" spans="1:63" hidden="1" x14ac:dyDescent="0.25">
      <c r="A265" t="s">
        <v>299</v>
      </c>
      <c r="B265" t="s">
        <v>482</v>
      </c>
      <c r="C265" t="s">
        <v>387</v>
      </c>
      <c r="D265" t="s">
        <v>388</v>
      </c>
      <c r="E265">
        <v>60</v>
      </c>
      <c r="F265">
        <v>60</v>
      </c>
      <c r="G265" t="s">
        <v>383</v>
      </c>
      <c r="H265" t="s">
        <v>393</v>
      </c>
      <c r="I265" t="s">
        <v>422</v>
      </c>
      <c r="J265" t="s">
        <v>392</v>
      </c>
      <c r="K265">
        <v>0</v>
      </c>
      <c r="L265">
        <v>1400</v>
      </c>
      <c r="M265">
        <v>0</v>
      </c>
      <c r="N265">
        <v>0.4</v>
      </c>
      <c r="O265">
        <v>0</v>
      </c>
      <c r="P265">
        <v>0</v>
      </c>
      <c r="Q265">
        <v>2</v>
      </c>
      <c r="R265">
        <v>1</v>
      </c>
      <c r="S265">
        <v>0</v>
      </c>
      <c r="T265">
        <v>0.4</v>
      </c>
      <c r="U265">
        <v>1.2</v>
      </c>
      <c r="V265">
        <v>3</v>
      </c>
      <c r="W265">
        <v>0</v>
      </c>
      <c r="X265">
        <v>0</v>
      </c>
      <c r="Y265">
        <v>0</v>
      </c>
      <c r="Z265">
        <v>0</v>
      </c>
      <c r="AA265">
        <v>0.1</v>
      </c>
      <c r="AB265" t="s">
        <v>451</v>
      </c>
      <c r="AC265">
        <v>0</v>
      </c>
      <c r="AD265">
        <v>0</v>
      </c>
      <c r="AE265">
        <v>300</v>
      </c>
      <c r="AF265">
        <v>9</v>
      </c>
      <c r="AG265">
        <v>0</v>
      </c>
      <c r="AH265">
        <v>0</v>
      </c>
      <c r="AI265">
        <v>0</v>
      </c>
      <c r="AJ265">
        <v>0</v>
      </c>
      <c r="AO265">
        <v>5</v>
      </c>
      <c r="AP265">
        <v>1</v>
      </c>
      <c r="AX265">
        <v>0.4</v>
      </c>
      <c r="BA265">
        <v>1</v>
      </c>
      <c r="BB265">
        <v>0.1</v>
      </c>
    </row>
    <row r="266" spans="1:63" x14ac:dyDescent="0.25">
      <c r="A266" t="s">
        <v>299</v>
      </c>
      <c r="B266" t="s">
        <v>167</v>
      </c>
      <c r="C266" t="s">
        <v>387</v>
      </c>
      <c r="D266" t="s">
        <v>388</v>
      </c>
      <c r="E266">
        <v>60</v>
      </c>
      <c r="F266">
        <v>60</v>
      </c>
      <c r="G266" t="s">
        <v>383</v>
      </c>
      <c r="H266" t="s">
        <v>393</v>
      </c>
      <c r="I266" t="s">
        <v>422</v>
      </c>
      <c r="J266" t="s">
        <v>392</v>
      </c>
      <c r="K266">
        <v>0</v>
      </c>
      <c r="L266" s="2">
        <v>1550</v>
      </c>
      <c r="M266">
        <v>0</v>
      </c>
      <c r="N266">
        <v>0.4</v>
      </c>
      <c r="O266">
        <v>0</v>
      </c>
      <c r="P266">
        <v>0</v>
      </c>
      <c r="Q266">
        <v>2</v>
      </c>
      <c r="R266">
        <v>1</v>
      </c>
      <c r="S266">
        <v>0</v>
      </c>
      <c r="T266">
        <v>0.4</v>
      </c>
      <c r="U266">
        <v>1.2</v>
      </c>
      <c r="V266">
        <v>3</v>
      </c>
      <c r="W266">
        <v>0</v>
      </c>
      <c r="X266">
        <v>0</v>
      </c>
      <c r="Y266">
        <v>0</v>
      </c>
      <c r="Z266">
        <v>0</v>
      </c>
      <c r="AA266">
        <v>0.1</v>
      </c>
      <c r="AB266" s="2" t="s">
        <v>374</v>
      </c>
      <c r="AC266">
        <v>0</v>
      </c>
      <c r="AD266">
        <v>0</v>
      </c>
      <c r="AE266">
        <v>300</v>
      </c>
      <c r="AF266" s="2">
        <v>10</v>
      </c>
      <c r="AG266">
        <v>0</v>
      </c>
      <c r="AH266">
        <v>0</v>
      </c>
      <c r="AI266">
        <v>0</v>
      </c>
      <c r="AJ266">
        <v>0</v>
      </c>
      <c r="AO266">
        <v>5</v>
      </c>
      <c r="AP266">
        <v>1</v>
      </c>
      <c r="AT266" s="2">
        <v>2.5</v>
      </c>
      <c r="AU266" s="2">
        <v>1</v>
      </c>
      <c r="AV266" s="2">
        <v>1</v>
      </c>
      <c r="AW266" s="2">
        <v>1.04</v>
      </c>
      <c r="AX266" s="2">
        <v>0.8</v>
      </c>
      <c r="BA266">
        <v>1</v>
      </c>
      <c r="BB266">
        <v>0.1</v>
      </c>
      <c r="BC266" s="2">
        <v>0.1</v>
      </c>
      <c r="BE266" s="2">
        <v>1</v>
      </c>
    </row>
    <row r="267" spans="1:63" hidden="1" x14ac:dyDescent="0.25">
      <c r="A267" t="s">
        <v>300</v>
      </c>
      <c r="B267" t="s">
        <v>482</v>
      </c>
      <c r="C267" t="s">
        <v>387</v>
      </c>
      <c r="D267" t="s">
        <v>388</v>
      </c>
      <c r="E267">
        <v>30</v>
      </c>
      <c r="F267">
        <v>30</v>
      </c>
      <c r="G267" t="s">
        <v>390</v>
      </c>
      <c r="H267" t="s">
        <v>393</v>
      </c>
      <c r="I267" t="s">
        <v>422</v>
      </c>
      <c r="J267" t="s">
        <v>392</v>
      </c>
      <c r="K267">
        <v>0</v>
      </c>
      <c r="L267">
        <v>1400</v>
      </c>
      <c r="M267">
        <v>0</v>
      </c>
      <c r="N267">
        <v>0.4</v>
      </c>
      <c r="O267">
        <v>0</v>
      </c>
      <c r="P267">
        <v>0</v>
      </c>
      <c r="Q267">
        <v>2</v>
      </c>
      <c r="R267">
        <v>1</v>
      </c>
      <c r="S267">
        <v>0</v>
      </c>
      <c r="T267">
        <v>0.5</v>
      </c>
      <c r="U267">
        <v>1.1000000000000001</v>
      </c>
      <c r="V267">
        <v>0.7</v>
      </c>
      <c r="W267">
        <v>0</v>
      </c>
      <c r="X267">
        <v>0</v>
      </c>
      <c r="Y267">
        <v>120</v>
      </c>
      <c r="Z267">
        <v>120</v>
      </c>
      <c r="AA267">
        <v>0.1</v>
      </c>
      <c r="AB267" t="s">
        <v>451</v>
      </c>
      <c r="AC267">
        <v>0</v>
      </c>
      <c r="AD267">
        <v>0</v>
      </c>
      <c r="AE267">
        <v>300</v>
      </c>
      <c r="AF267">
        <v>0</v>
      </c>
      <c r="AG267">
        <v>-180</v>
      </c>
      <c r="AH267">
        <v>180</v>
      </c>
      <c r="AI267">
        <v>-5</v>
      </c>
      <c r="AJ267">
        <v>60</v>
      </c>
      <c r="AO267">
        <v>5</v>
      </c>
      <c r="AP267">
        <v>1</v>
      </c>
      <c r="AU267">
        <v>0.5</v>
      </c>
      <c r="AV267">
        <v>0.5</v>
      </c>
      <c r="BA267">
        <v>1</v>
      </c>
      <c r="BB267">
        <v>0.01</v>
      </c>
      <c r="BD267">
        <v>0.3</v>
      </c>
    </row>
    <row r="268" spans="1:63" x14ac:dyDescent="0.25">
      <c r="A268" t="s">
        <v>300</v>
      </c>
      <c r="B268" t="s">
        <v>167</v>
      </c>
      <c r="C268" t="s">
        <v>387</v>
      </c>
      <c r="D268" t="s">
        <v>388</v>
      </c>
      <c r="E268">
        <v>30</v>
      </c>
      <c r="F268">
        <v>30</v>
      </c>
      <c r="G268" t="s">
        <v>390</v>
      </c>
      <c r="H268" t="s">
        <v>393</v>
      </c>
      <c r="I268" t="s">
        <v>422</v>
      </c>
      <c r="J268" t="s">
        <v>392</v>
      </c>
      <c r="K268">
        <v>0</v>
      </c>
      <c r="L268">
        <v>1400</v>
      </c>
      <c r="M268">
        <v>0</v>
      </c>
      <c r="N268">
        <v>0.4</v>
      </c>
      <c r="O268">
        <v>0</v>
      </c>
      <c r="P268">
        <v>0</v>
      </c>
      <c r="Q268">
        <v>2</v>
      </c>
      <c r="R268">
        <v>1</v>
      </c>
      <c r="S268">
        <v>0</v>
      </c>
      <c r="T268">
        <v>0.5</v>
      </c>
      <c r="U268">
        <v>1.1000000000000001</v>
      </c>
      <c r="V268">
        <v>0.7</v>
      </c>
      <c r="W268">
        <v>0</v>
      </c>
      <c r="X268">
        <v>0</v>
      </c>
      <c r="Y268">
        <v>120</v>
      </c>
      <c r="Z268">
        <v>120</v>
      </c>
      <c r="AA268">
        <v>0.1</v>
      </c>
      <c r="AB268" s="2" t="s">
        <v>374</v>
      </c>
      <c r="AC268">
        <v>0</v>
      </c>
      <c r="AD268">
        <v>0</v>
      </c>
      <c r="AE268">
        <v>300</v>
      </c>
      <c r="AF268">
        <v>0</v>
      </c>
      <c r="AG268">
        <v>-180</v>
      </c>
      <c r="AH268">
        <v>180</v>
      </c>
      <c r="AI268">
        <v>-5</v>
      </c>
      <c r="AJ268">
        <v>60</v>
      </c>
      <c r="AO268">
        <v>5</v>
      </c>
      <c r="AP268">
        <v>1</v>
      </c>
      <c r="AU268">
        <v>0.5</v>
      </c>
      <c r="AV268">
        <v>0.5</v>
      </c>
      <c r="BA268">
        <v>1</v>
      </c>
      <c r="BB268">
        <v>0.01</v>
      </c>
      <c r="BD268">
        <v>0.3</v>
      </c>
    </row>
    <row r="269" spans="1:63" x14ac:dyDescent="0.25">
      <c r="A269" s="3" t="s">
        <v>479</v>
      </c>
      <c r="B269" t="s">
        <v>167</v>
      </c>
      <c r="C269" t="s">
        <v>387</v>
      </c>
      <c r="D269" t="s">
        <v>388</v>
      </c>
      <c r="E269">
        <v>90</v>
      </c>
      <c r="F269">
        <v>90</v>
      </c>
      <c r="G269" t="s">
        <v>396</v>
      </c>
      <c r="H269" t="s">
        <v>400</v>
      </c>
      <c r="I269" t="s">
        <v>423</v>
      </c>
      <c r="J269" t="s">
        <v>392</v>
      </c>
      <c r="K269">
        <v>0</v>
      </c>
      <c r="L269">
        <v>0</v>
      </c>
      <c r="M269" t="s">
        <v>480</v>
      </c>
      <c r="N269">
        <v>2</v>
      </c>
      <c r="O269">
        <v>0</v>
      </c>
      <c r="P269">
        <v>0</v>
      </c>
      <c r="Q269">
        <v>10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0.1</v>
      </c>
      <c r="AB269" t="s">
        <v>374</v>
      </c>
      <c r="AC269">
        <v>1</v>
      </c>
      <c r="AD269">
        <v>0</v>
      </c>
      <c r="AE269">
        <v>0</v>
      </c>
      <c r="AF269">
        <v>180</v>
      </c>
      <c r="AG269">
        <v>0</v>
      </c>
      <c r="AH269">
        <v>0</v>
      </c>
      <c r="AI269">
        <v>0</v>
      </c>
      <c r="AJ269">
        <v>0</v>
      </c>
      <c r="AO269">
        <v>5</v>
      </c>
      <c r="AP269">
        <v>0</v>
      </c>
    </row>
    <row r="270" spans="1:63" hidden="1" x14ac:dyDescent="0.25">
      <c r="A270" t="s">
        <v>301</v>
      </c>
      <c r="B270" t="s">
        <v>482</v>
      </c>
      <c r="C270" t="s">
        <v>387</v>
      </c>
      <c r="D270" t="s">
        <v>388</v>
      </c>
      <c r="E270">
        <v>5000</v>
      </c>
      <c r="F270">
        <v>5000</v>
      </c>
      <c r="G270" t="s">
        <v>383</v>
      </c>
      <c r="H270" t="s">
        <v>397</v>
      </c>
      <c r="I270" t="s">
        <v>428</v>
      </c>
      <c r="J270" t="s">
        <v>413</v>
      </c>
      <c r="K270">
        <v>150</v>
      </c>
      <c r="L270">
        <v>1000</v>
      </c>
      <c r="M270">
        <v>0</v>
      </c>
      <c r="N270">
        <v>0</v>
      </c>
      <c r="O270">
        <v>0</v>
      </c>
      <c r="P270">
        <v>0</v>
      </c>
      <c r="Q270">
        <v>1</v>
      </c>
      <c r="R270">
        <v>0</v>
      </c>
      <c r="S270">
        <v>0</v>
      </c>
      <c r="T270">
        <v>0.5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0.1</v>
      </c>
      <c r="AB270" t="s">
        <v>451</v>
      </c>
      <c r="AC270">
        <v>0</v>
      </c>
      <c r="AD270">
        <v>0</v>
      </c>
      <c r="AE270">
        <v>0</v>
      </c>
      <c r="AF270">
        <v>180</v>
      </c>
      <c r="AG270">
        <v>0</v>
      </c>
      <c r="AH270">
        <v>0</v>
      </c>
      <c r="AI270">
        <v>0</v>
      </c>
      <c r="AJ270">
        <v>0</v>
      </c>
      <c r="AO270">
        <v>5</v>
      </c>
      <c r="AP270">
        <v>1</v>
      </c>
      <c r="AZ270">
        <v>0</v>
      </c>
      <c r="BA270">
        <v>1</v>
      </c>
      <c r="BB270">
        <v>0</v>
      </c>
      <c r="BD270">
        <v>0</v>
      </c>
    </row>
    <row r="271" spans="1:63" x14ac:dyDescent="0.25">
      <c r="A271" t="s">
        <v>301</v>
      </c>
      <c r="B271" t="s">
        <v>167</v>
      </c>
      <c r="C271" t="s">
        <v>387</v>
      </c>
      <c r="D271" t="s">
        <v>388</v>
      </c>
      <c r="E271">
        <v>5000</v>
      </c>
      <c r="F271">
        <v>5000</v>
      </c>
      <c r="G271" t="s">
        <v>383</v>
      </c>
      <c r="H271" t="s">
        <v>397</v>
      </c>
      <c r="I271" t="s">
        <v>428</v>
      </c>
      <c r="J271" t="s">
        <v>413</v>
      </c>
      <c r="K271">
        <v>150</v>
      </c>
      <c r="L271">
        <v>1000</v>
      </c>
      <c r="M271">
        <v>0</v>
      </c>
      <c r="N271">
        <v>0</v>
      </c>
      <c r="O271">
        <v>0</v>
      </c>
      <c r="P271">
        <v>0</v>
      </c>
      <c r="Q271">
        <v>1</v>
      </c>
      <c r="R271">
        <v>0</v>
      </c>
      <c r="S271">
        <v>0</v>
      </c>
      <c r="T271">
        <v>0.5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0.1</v>
      </c>
      <c r="AB271" s="2" t="s">
        <v>374</v>
      </c>
      <c r="AC271">
        <v>0</v>
      </c>
      <c r="AD271">
        <v>0</v>
      </c>
      <c r="AE271">
        <v>0</v>
      </c>
      <c r="AF271">
        <v>180</v>
      </c>
      <c r="AG271">
        <v>0</v>
      </c>
      <c r="AH271">
        <v>0</v>
      </c>
      <c r="AI271">
        <v>0</v>
      </c>
      <c r="AJ271">
        <v>0</v>
      </c>
      <c r="AO271">
        <v>5</v>
      </c>
      <c r="AP271">
        <v>1</v>
      </c>
      <c r="AZ271">
        <v>0</v>
      </c>
      <c r="BA271">
        <v>1</v>
      </c>
      <c r="BB271">
        <v>0</v>
      </c>
      <c r="BC271">
        <v>0</v>
      </c>
      <c r="BD271">
        <v>0</v>
      </c>
      <c r="BE271">
        <v>0</v>
      </c>
    </row>
    <row r="272" spans="1:63" hidden="1" x14ac:dyDescent="0.25">
      <c r="A272" t="s">
        <v>302</v>
      </c>
      <c r="B272" t="s">
        <v>482</v>
      </c>
      <c r="C272" t="s">
        <v>387</v>
      </c>
      <c r="D272" t="s">
        <v>388</v>
      </c>
      <c r="E272">
        <v>42</v>
      </c>
      <c r="F272">
        <v>42</v>
      </c>
      <c r="G272" t="s">
        <v>383</v>
      </c>
      <c r="H272" t="s">
        <v>384</v>
      </c>
      <c r="I272" t="s">
        <v>414</v>
      </c>
      <c r="J272" t="s">
        <v>392</v>
      </c>
      <c r="K272">
        <v>1500</v>
      </c>
      <c r="L272">
        <v>1200</v>
      </c>
      <c r="M272">
        <v>0</v>
      </c>
      <c r="N272">
        <v>0</v>
      </c>
      <c r="O272">
        <v>0</v>
      </c>
      <c r="P272">
        <v>0</v>
      </c>
      <c r="Q272">
        <v>1</v>
      </c>
      <c r="R272">
        <v>1</v>
      </c>
      <c r="S272">
        <v>0</v>
      </c>
      <c r="T272">
        <v>3</v>
      </c>
      <c r="U272">
        <v>0</v>
      </c>
      <c r="V272">
        <v>0</v>
      </c>
      <c r="W272">
        <v>1</v>
      </c>
      <c r="X272">
        <v>0</v>
      </c>
      <c r="Y272">
        <v>60</v>
      </c>
      <c r="Z272">
        <v>60</v>
      </c>
      <c r="AA272">
        <v>0.1</v>
      </c>
      <c r="AB272" t="s">
        <v>451</v>
      </c>
      <c r="AC272">
        <v>1</v>
      </c>
      <c r="AD272">
        <v>0</v>
      </c>
      <c r="AE272">
        <v>0</v>
      </c>
      <c r="AF272">
        <v>5</v>
      </c>
      <c r="AG272">
        <v>0</v>
      </c>
      <c r="AH272">
        <v>0</v>
      </c>
      <c r="AI272">
        <v>0</v>
      </c>
      <c r="AJ272">
        <v>0</v>
      </c>
      <c r="AO272">
        <v>5</v>
      </c>
      <c r="AP272">
        <v>1</v>
      </c>
      <c r="AX272">
        <v>0.8</v>
      </c>
      <c r="AZ272">
        <v>1</v>
      </c>
      <c r="BA272">
        <v>1</v>
      </c>
      <c r="BB272">
        <v>0.1</v>
      </c>
      <c r="BD272">
        <v>0.13</v>
      </c>
      <c r="BF272">
        <v>0.8</v>
      </c>
      <c r="BG272">
        <v>0.6</v>
      </c>
      <c r="BH272">
        <v>0.6</v>
      </c>
      <c r="BK272">
        <v>0.6</v>
      </c>
    </row>
    <row r="273" spans="1:65" x14ac:dyDescent="0.25">
      <c r="A273" t="s">
        <v>302</v>
      </c>
      <c r="B273" t="s">
        <v>167</v>
      </c>
      <c r="C273" t="s">
        <v>387</v>
      </c>
      <c r="D273" t="s">
        <v>388</v>
      </c>
      <c r="E273">
        <v>42</v>
      </c>
      <c r="F273">
        <v>42</v>
      </c>
      <c r="G273" t="s">
        <v>383</v>
      </c>
      <c r="H273" t="s">
        <v>384</v>
      </c>
      <c r="I273" t="s">
        <v>414</v>
      </c>
      <c r="J273" t="s">
        <v>392</v>
      </c>
      <c r="K273">
        <v>1500</v>
      </c>
      <c r="L273">
        <v>1200</v>
      </c>
      <c r="M273">
        <v>0</v>
      </c>
      <c r="N273">
        <v>0</v>
      </c>
      <c r="O273">
        <v>0</v>
      </c>
      <c r="P273">
        <v>0</v>
      </c>
      <c r="Q273">
        <v>1</v>
      </c>
      <c r="R273">
        <v>1</v>
      </c>
      <c r="S273">
        <v>0</v>
      </c>
      <c r="T273">
        <v>3</v>
      </c>
      <c r="U273">
        <v>0</v>
      </c>
      <c r="V273">
        <v>0</v>
      </c>
      <c r="W273">
        <v>1</v>
      </c>
      <c r="X273">
        <v>0</v>
      </c>
      <c r="Y273">
        <v>60</v>
      </c>
      <c r="Z273">
        <v>60</v>
      </c>
      <c r="AA273">
        <v>0.1</v>
      </c>
      <c r="AB273" s="2" t="s">
        <v>374</v>
      </c>
      <c r="AC273">
        <v>1</v>
      </c>
      <c r="AD273">
        <v>0</v>
      </c>
      <c r="AE273">
        <v>0</v>
      </c>
      <c r="AF273">
        <v>5</v>
      </c>
      <c r="AG273">
        <v>0</v>
      </c>
      <c r="AH273">
        <v>0</v>
      </c>
      <c r="AI273">
        <v>0</v>
      </c>
      <c r="AJ273">
        <v>0</v>
      </c>
      <c r="AO273">
        <v>5</v>
      </c>
      <c r="AP273">
        <v>1</v>
      </c>
      <c r="AX273">
        <v>0.8</v>
      </c>
      <c r="AZ273">
        <v>1</v>
      </c>
      <c r="BA273">
        <v>1</v>
      </c>
      <c r="BB273">
        <v>0.1</v>
      </c>
      <c r="BD273">
        <v>0.13</v>
      </c>
      <c r="BF273">
        <v>0.8</v>
      </c>
      <c r="BG273">
        <v>0.6</v>
      </c>
      <c r="BH273">
        <v>0.6</v>
      </c>
      <c r="BK273">
        <v>0.6</v>
      </c>
    </row>
    <row r="274" spans="1:65" hidden="1" x14ac:dyDescent="0.25">
      <c r="A274" t="s">
        <v>303</v>
      </c>
      <c r="B274" t="s">
        <v>482</v>
      </c>
      <c r="C274" t="s">
        <v>387</v>
      </c>
      <c r="D274" t="s">
        <v>388</v>
      </c>
      <c r="E274">
        <v>100</v>
      </c>
      <c r="F274">
        <v>100</v>
      </c>
      <c r="G274" t="s">
        <v>396</v>
      </c>
      <c r="H274" t="s">
        <v>400</v>
      </c>
      <c r="I274" t="s">
        <v>415</v>
      </c>
      <c r="J274" t="s">
        <v>392</v>
      </c>
      <c r="K274">
        <v>0</v>
      </c>
      <c r="L274">
        <v>0</v>
      </c>
      <c r="M274">
        <v>200</v>
      </c>
      <c r="N274">
        <v>2</v>
      </c>
      <c r="O274">
        <v>0</v>
      </c>
      <c r="P274">
        <v>0</v>
      </c>
      <c r="Q274">
        <v>10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0.1</v>
      </c>
      <c r="AB274" t="s">
        <v>451</v>
      </c>
      <c r="AC274">
        <v>1</v>
      </c>
      <c r="AD274">
        <v>0</v>
      </c>
      <c r="AE274">
        <v>0</v>
      </c>
      <c r="AO274">
        <v>5</v>
      </c>
      <c r="AP274">
        <v>1</v>
      </c>
      <c r="AS274">
        <v>0</v>
      </c>
      <c r="AU274">
        <v>0.4</v>
      </c>
      <c r="AV274">
        <v>0.4</v>
      </c>
      <c r="AW274">
        <v>0.3</v>
      </c>
      <c r="AX274">
        <v>0.15</v>
      </c>
    </row>
    <row r="275" spans="1:65" x14ac:dyDescent="0.25">
      <c r="A275" t="s">
        <v>303</v>
      </c>
      <c r="B275" t="s">
        <v>167</v>
      </c>
      <c r="C275" t="s">
        <v>387</v>
      </c>
      <c r="D275" t="s">
        <v>388</v>
      </c>
      <c r="E275">
        <v>100</v>
      </c>
      <c r="F275">
        <v>100</v>
      </c>
      <c r="G275" t="s">
        <v>396</v>
      </c>
      <c r="H275" t="s">
        <v>400</v>
      </c>
      <c r="I275" t="s">
        <v>415</v>
      </c>
      <c r="J275" t="s">
        <v>392</v>
      </c>
      <c r="K275">
        <v>0</v>
      </c>
      <c r="L275">
        <v>0</v>
      </c>
      <c r="M275">
        <v>200</v>
      </c>
      <c r="N275">
        <v>2</v>
      </c>
      <c r="O275">
        <v>0</v>
      </c>
      <c r="P275">
        <v>0</v>
      </c>
      <c r="Q275">
        <v>10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0.1</v>
      </c>
      <c r="AB275" s="2" t="s">
        <v>374</v>
      </c>
      <c r="AC275">
        <v>1</v>
      </c>
      <c r="AD275">
        <v>0</v>
      </c>
      <c r="AE275">
        <v>0</v>
      </c>
      <c r="AO275">
        <v>5</v>
      </c>
      <c r="AP275">
        <v>1</v>
      </c>
      <c r="AQ275" s="2">
        <v>1</v>
      </c>
      <c r="AR275" s="2">
        <v>1</v>
      </c>
      <c r="AS275">
        <v>0</v>
      </c>
      <c r="AT275">
        <v>0</v>
      </c>
      <c r="AU275">
        <v>0.4</v>
      </c>
      <c r="AV275">
        <v>0.4</v>
      </c>
      <c r="AW275">
        <v>0.3</v>
      </c>
      <c r="AX275">
        <v>0.15</v>
      </c>
    </row>
    <row r="276" spans="1:65" hidden="1" x14ac:dyDescent="0.25">
      <c r="A276" t="s">
        <v>304</v>
      </c>
      <c r="B276" t="s">
        <v>482</v>
      </c>
      <c r="C276" t="s">
        <v>387</v>
      </c>
      <c r="D276" t="s">
        <v>409</v>
      </c>
      <c r="E276">
        <v>0</v>
      </c>
      <c r="F276">
        <v>0</v>
      </c>
      <c r="G276" t="s">
        <v>383</v>
      </c>
      <c r="H276" t="s">
        <v>384</v>
      </c>
      <c r="I276" t="s">
        <v>408</v>
      </c>
      <c r="J276" t="s">
        <v>392</v>
      </c>
      <c r="K276">
        <v>3000</v>
      </c>
      <c r="L276">
        <v>8000</v>
      </c>
      <c r="M276">
        <v>0</v>
      </c>
      <c r="N276">
        <v>0</v>
      </c>
      <c r="O276">
        <v>0</v>
      </c>
      <c r="P276">
        <v>0</v>
      </c>
      <c r="Q276">
        <v>1</v>
      </c>
      <c r="R276">
        <v>1</v>
      </c>
      <c r="S276">
        <v>0</v>
      </c>
      <c r="T276">
        <v>10</v>
      </c>
      <c r="U276">
        <v>0</v>
      </c>
      <c r="V276">
        <v>0</v>
      </c>
      <c r="W276">
        <v>0</v>
      </c>
      <c r="X276">
        <v>0</v>
      </c>
      <c r="Y276">
        <v>120</v>
      </c>
      <c r="Z276">
        <v>120</v>
      </c>
      <c r="AA276">
        <v>0.1</v>
      </c>
      <c r="AB276" t="s">
        <v>451</v>
      </c>
      <c r="AC276">
        <v>1</v>
      </c>
      <c r="AD276">
        <v>0</v>
      </c>
      <c r="AE276">
        <v>0</v>
      </c>
      <c r="AF276">
        <v>5</v>
      </c>
      <c r="AG276">
        <v>0</v>
      </c>
      <c r="AH276">
        <v>0</v>
      </c>
      <c r="AI276">
        <v>0</v>
      </c>
      <c r="AJ276">
        <v>0</v>
      </c>
      <c r="AK276" t="s">
        <v>410</v>
      </c>
      <c r="AL276" t="s">
        <v>409</v>
      </c>
      <c r="AM276">
        <v>0</v>
      </c>
      <c r="AN276">
        <v>0</v>
      </c>
      <c r="AO276">
        <v>0</v>
      </c>
      <c r="AP276">
        <v>1</v>
      </c>
      <c r="AZ276">
        <v>1</v>
      </c>
      <c r="BA276">
        <v>0</v>
      </c>
      <c r="BM276">
        <v>1</v>
      </c>
    </row>
    <row r="277" spans="1:65" x14ac:dyDescent="0.25">
      <c r="A277" t="s">
        <v>304</v>
      </c>
      <c r="B277" t="s">
        <v>167</v>
      </c>
      <c r="C277" t="s">
        <v>387</v>
      </c>
      <c r="D277" t="s">
        <v>409</v>
      </c>
      <c r="E277">
        <v>0</v>
      </c>
      <c r="F277">
        <v>0</v>
      </c>
      <c r="G277" t="s">
        <v>383</v>
      </c>
      <c r="H277" t="s">
        <v>384</v>
      </c>
      <c r="I277" t="s">
        <v>408</v>
      </c>
      <c r="J277" t="s">
        <v>392</v>
      </c>
      <c r="K277">
        <v>3000</v>
      </c>
      <c r="L277">
        <v>8000</v>
      </c>
      <c r="M277">
        <v>0</v>
      </c>
      <c r="N277">
        <v>0</v>
      </c>
      <c r="O277">
        <v>0</v>
      </c>
      <c r="P277">
        <v>0</v>
      </c>
      <c r="Q277">
        <v>1</v>
      </c>
      <c r="R277">
        <v>1</v>
      </c>
      <c r="S277">
        <v>0</v>
      </c>
      <c r="T277">
        <v>10</v>
      </c>
      <c r="U277">
        <v>0</v>
      </c>
      <c r="V277">
        <v>0</v>
      </c>
      <c r="W277">
        <v>0</v>
      </c>
      <c r="X277">
        <v>0</v>
      </c>
      <c r="Y277">
        <v>120</v>
      </c>
      <c r="Z277">
        <v>120</v>
      </c>
      <c r="AA277">
        <v>0.1</v>
      </c>
      <c r="AB277" s="2" t="s">
        <v>374</v>
      </c>
      <c r="AC277">
        <v>1</v>
      </c>
      <c r="AD277">
        <v>0</v>
      </c>
      <c r="AE277">
        <v>0</v>
      </c>
      <c r="AF277">
        <v>5</v>
      </c>
      <c r="AG277">
        <v>0</v>
      </c>
      <c r="AH277">
        <v>0</v>
      </c>
      <c r="AI277">
        <v>0</v>
      </c>
      <c r="AJ277">
        <v>0</v>
      </c>
      <c r="AK277" t="s">
        <v>410</v>
      </c>
      <c r="AL277" t="s">
        <v>409</v>
      </c>
      <c r="AM277">
        <v>0</v>
      </c>
      <c r="AN277">
        <v>0</v>
      </c>
      <c r="AO277">
        <v>0</v>
      </c>
      <c r="AP277">
        <v>1</v>
      </c>
      <c r="AZ277">
        <v>1</v>
      </c>
      <c r="BA277">
        <v>0</v>
      </c>
      <c r="BM277">
        <v>1</v>
      </c>
    </row>
    <row r="278" spans="1:65" hidden="1" x14ac:dyDescent="0.25">
      <c r="A278" t="s">
        <v>305</v>
      </c>
      <c r="B278" t="s">
        <v>482</v>
      </c>
      <c r="C278" t="s">
        <v>387</v>
      </c>
      <c r="D278" t="s">
        <v>388</v>
      </c>
      <c r="E278">
        <v>4500</v>
      </c>
      <c r="F278">
        <v>4500</v>
      </c>
      <c r="G278" t="s">
        <v>383</v>
      </c>
      <c r="H278" t="s">
        <v>393</v>
      </c>
      <c r="I278" t="s">
        <v>403</v>
      </c>
      <c r="J278" t="s">
        <v>392</v>
      </c>
      <c r="K278">
        <v>0</v>
      </c>
      <c r="L278">
        <v>1400</v>
      </c>
      <c r="M278">
        <v>0</v>
      </c>
      <c r="N278">
        <v>3</v>
      </c>
      <c r="O278">
        <v>0</v>
      </c>
      <c r="P278">
        <v>0</v>
      </c>
      <c r="Q278">
        <v>10</v>
      </c>
      <c r="R278">
        <v>0</v>
      </c>
      <c r="S278">
        <v>1</v>
      </c>
      <c r="T278">
        <v>5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0.1</v>
      </c>
      <c r="AB278" t="s">
        <v>451</v>
      </c>
      <c r="AC278">
        <v>0</v>
      </c>
      <c r="AD278">
        <v>0</v>
      </c>
      <c r="AE278">
        <v>1000</v>
      </c>
      <c r="AF278">
        <v>0</v>
      </c>
      <c r="AG278">
        <v>-180</v>
      </c>
      <c r="AH278">
        <v>180</v>
      </c>
      <c r="AI278">
        <v>-1</v>
      </c>
      <c r="AJ278">
        <v>-20</v>
      </c>
      <c r="AO278">
        <v>5</v>
      </c>
      <c r="AP278">
        <v>1</v>
      </c>
      <c r="BA278">
        <v>1</v>
      </c>
      <c r="BB278">
        <v>2E-3</v>
      </c>
      <c r="BD278">
        <v>0.4</v>
      </c>
    </row>
    <row r="279" spans="1:65" x14ac:dyDescent="0.25">
      <c r="A279" t="s">
        <v>305</v>
      </c>
      <c r="B279" t="s">
        <v>167</v>
      </c>
      <c r="C279" t="s">
        <v>387</v>
      </c>
      <c r="D279" t="s">
        <v>388</v>
      </c>
      <c r="E279">
        <v>4500</v>
      </c>
      <c r="F279">
        <v>4500</v>
      </c>
      <c r="G279" t="s">
        <v>383</v>
      </c>
      <c r="H279" t="s">
        <v>393</v>
      </c>
      <c r="I279" t="s">
        <v>403</v>
      </c>
      <c r="J279" t="s">
        <v>392</v>
      </c>
      <c r="K279">
        <v>0</v>
      </c>
      <c r="L279">
        <v>1400</v>
      </c>
      <c r="M279">
        <v>0</v>
      </c>
      <c r="N279">
        <v>3</v>
      </c>
      <c r="O279">
        <v>0</v>
      </c>
      <c r="P279">
        <v>0</v>
      </c>
      <c r="Q279">
        <v>10</v>
      </c>
      <c r="R279">
        <v>0</v>
      </c>
      <c r="S279">
        <v>1</v>
      </c>
      <c r="T279">
        <v>5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0.1</v>
      </c>
      <c r="AB279" s="2" t="s">
        <v>374</v>
      </c>
      <c r="AC279">
        <v>0</v>
      </c>
      <c r="AD279">
        <v>0</v>
      </c>
      <c r="AE279">
        <v>1000</v>
      </c>
      <c r="AF279">
        <v>0</v>
      </c>
      <c r="AG279">
        <v>-180</v>
      </c>
      <c r="AH279">
        <v>180</v>
      </c>
      <c r="AI279">
        <v>-1</v>
      </c>
      <c r="AJ279">
        <v>-20</v>
      </c>
      <c r="AO279">
        <v>5</v>
      </c>
      <c r="AP279">
        <v>1</v>
      </c>
      <c r="BA279">
        <v>1</v>
      </c>
      <c r="BB279">
        <v>2E-3</v>
      </c>
      <c r="BD279">
        <v>0.4</v>
      </c>
    </row>
    <row r="280" spans="1:65" hidden="1" x14ac:dyDescent="0.25">
      <c r="A280" t="s">
        <v>306</v>
      </c>
      <c r="B280" t="s">
        <v>482</v>
      </c>
      <c r="C280" t="s">
        <v>387</v>
      </c>
      <c r="D280" t="s">
        <v>388</v>
      </c>
      <c r="E280">
        <v>20</v>
      </c>
      <c r="F280">
        <v>20</v>
      </c>
      <c r="G280" t="s">
        <v>383</v>
      </c>
      <c r="H280" t="s">
        <v>393</v>
      </c>
      <c r="I280" t="s">
        <v>417</v>
      </c>
      <c r="J280" t="s">
        <v>392</v>
      </c>
      <c r="K280">
        <v>0</v>
      </c>
      <c r="L280">
        <v>1400</v>
      </c>
      <c r="M280">
        <v>0</v>
      </c>
      <c r="N280">
        <v>0.4</v>
      </c>
      <c r="O280">
        <v>0</v>
      </c>
      <c r="P280">
        <v>0</v>
      </c>
      <c r="Q280">
        <v>2</v>
      </c>
      <c r="R280">
        <v>0</v>
      </c>
      <c r="S280">
        <v>1</v>
      </c>
      <c r="T280">
        <v>0.5</v>
      </c>
      <c r="U280">
        <v>1.1000000000000001</v>
      </c>
      <c r="V280">
        <v>0.7</v>
      </c>
      <c r="W280">
        <v>0</v>
      </c>
      <c r="X280">
        <v>0</v>
      </c>
      <c r="Y280">
        <v>0</v>
      </c>
      <c r="Z280">
        <v>0</v>
      </c>
      <c r="AA280">
        <v>0.1</v>
      </c>
      <c r="AB280" t="s">
        <v>451</v>
      </c>
      <c r="AC280">
        <v>0</v>
      </c>
      <c r="AD280">
        <v>0</v>
      </c>
      <c r="AE280">
        <v>300</v>
      </c>
      <c r="AF280">
        <v>10</v>
      </c>
      <c r="AG280">
        <v>0</v>
      </c>
      <c r="AH280">
        <v>0</v>
      </c>
      <c r="AI280">
        <v>0</v>
      </c>
      <c r="AJ280">
        <v>0</v>
      </c>
      <c r="AO280">
        <v>5</v>
      </c>
      <c r="AP280">
        <v>1</v>
      </c>
      <c r="BA280">
        <v>1</v>
      </c>
      <c r="BB280">
        <v>0.01</v>
      </c>
      <c r="BD280">
        <v>0.3</v>
      </c>
    </row>
    <row r="281" spans="1:65" x14ac:dyDescent="0.25">
      <c r="A281" t="s">
        <v>306</v>
      </c>
      <c r="B281" t="s">
        <v>167</v>
      </c>
      <c r="C281" t="s">
        <v>387</v>
      </c>
      <c r="D281" t="s">
        <v>388</v>
      </c>
      <c r="E281">
        <v>20</v>
      </c>
      <c r="F281">
        <v>20</v>
      </c>
      <c r="G281" t="s">
        <v>383</v>
      </c>
      <c r="H281" t="s">
        <v>393</v>
      </c>
      <c r="I281" t="s">
        <v>417</v>
      </c>
      <c r="J281" t="s">
        <v>392</v>
      </c>
      <c r="K281">
        <v>0</v>
      </c>
      <c r="L281">
        <v>1400</v>
      </c>
      <c r="M281">
        <v>0</v>
      </c>
      <c r="N281">
        <v>0.4</v>
      </c>
      <c r="O281">
        <v>0</v>
      </c>
      <c r="P281">
        <v>0</v>
      </c>
      <c r="Q281">
        <v>2</v>
      </c>
      <c r="R281">
        <v>0</v>
      </c>
      <c r="S281">
        <v>1</v>
      </c>
      <c r="T281">
        <v>0.5</v>
      </c>
      <c r="U281">
        <v>1.1000000000000001</v>
      </c>
      <c r="V281">
        <v>0.7</v>
      </c>
      <c r="W281">
        <v>0</v>
      </c>
      <c r="X281">
        <v>0</v>
      </c>
      <c r="Y281">
        <v>0</v>
      </c>
      <c r="Z281">
        <v>0</v>
      </c>
      <c r="AA281">
        <v>0.1</v>
      </c>
      <c r="AB281" s="2" t="s">
        <v>374</v>
      </c>
      <c r="AC281">
        <v>0</v>
      </c>
      <c r="AD281">
        <v>0</v>
      </c>
      <c r="AE281">
        <v>300</v>
      </c>
      <c r="AF281">
        <v>10</v>
      </c>
      <c r="AG281">
        <v>0</v>
      </c>
      <c r="AH281">
        <v>0</v>
      </c>
      <c r="AI281">
        <v>0</v>
      </c>
      <c r="AJ281">
        <v>0</v>
      </c>
      <c r="AO281">
        <v>5</v>
      </c>
      <c r="AP281">
        <v>1</v>
      </c>
      <c r="BA281">
        <v>1</v>
      </c>
      <c r="BB281">
        <v>0.01</v>
      </c>
      <c r="BD281">
        <v>0.3</v>
      </c>
    </row>
    <row r="282" spans="1:65" hidden="1" x14ac:dyDescent="0.25">
      <c r="A282" t="s">
        <v>307</v>
      </c>
      <c r="B282" t="s">
        <v>482</v>
      </c>
      <c r="C282" t="s">
        <v>387</v>
      </c>
      <c r="D282" t="s">
        <v>409</v>
      </c>
      <c r="E282">
        <v>0</v>
      </c>
      <c r="F282">
        <v>0</v>
      </c>
      <c r="G282" t="s">
        <v>383</v>
      </c>
      <c r="H282" t="s">
        <v>384</v>
      </c>
      <c r="I282" t="s">
        <v>414</v>
      </c>
      <c r="J282" t="s">
        <v>386</v>
      </c>
      <c r="K282">
        <v>900</v>
      </c>
      <c r="L282">
        <v>600</v>
      </c>
      <c r="M282">
        <v>0</v>
      </c>
      <c r="N282">
        <v>0</v>
      </c>
      <c r="O282">
        <v>0</v>
      </c>
      <c r="P282">
        <v>0</v>
      </c>
      <c r="Q282">
        <v>1</v>
      </c>
      <c r="R282">
        <v>1</v>
      </c>
      <c r="S282">
        <v>0</v>
      </c>
      <c r="T282">
        <v>70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0.1</v>
      </c>
      <c r="AB282" t="s">
        <v>451</v>
      </c>
      <c r="AC282">
        <v>0</v>
      </c>
      <c r="AD282">
        <v>0</v>
      </c>
      <c r="AE282">
        <v>0</v>
      </c>
      <c r="AF282">
        <v>180</v>
      </c>
      <c r="AG282">
        <v>0</v>
      </c>
      <c r="AH282">
        <v>0</v>
      </c>
      <c r="AI282">
        <v>0</v>
      </c>
      <c r="AJ282">
        <v>0</v>
      </c>
      <c r="AK282" t="s">
        <v>410</v>
      </c>
      <c r="AL282" t="s">
        <v>409</v>
      </c>
      <c r="AM282">
        <v>0</v>
      </c>
      <c r="AN282">
        <v>0</v>
      </c>
      <c r="AO282">
        <v>5</v>
      </c>
      <c r="AP282">
        <v>1</v>
      </c>
    </row>
    <row r="283" spans="1:65" x14ac:dyDescent="0.25">
      <c r="A283" t="s">
        <v>307</v>
      </c>
      <c r="B283" t="s">
        <v>167</v>
      </c>
      <c r="C283" t="s">
        <v>387</v>
      </c>
      <c r="D283" t="s">
        <v>409</v>
      </c>
      <c r="E283">
        <v>0</v>
      </c>
      <c r="F283">
        <v>0</v>
      </c>
      <c r="G283" t="s">
        <v>383</v>
      </c>
      <c r="H283" t="s">
        <v>384</v>
      </c>
      <c r="I283" t="s">
        <v>414</v>
      </c>
      <c r="J283" t="s">
        <v>386</v>
      </c>
      <c r="K283">
        <v>900</v>
      </c>
      <c r="L283">
        <v>600</v>
      </c>
      <c r="M283">
        <v>0</v>
      </c>
      <c r="N283">
        <v>0</v>
      </c>
      <c r="O283">
        <v>0</v>
      </c>
      <c r="P283">
        <v>0</v>
      </c>
      <c r="Q283">
        <v>1</v>
      </c>
      <c r="R283">
        <v>1</v>
      </c>
      <c r="S283">
        <v>0</v>
      </c>
      <c r="T283">
        <v>70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0.1</v>
      </c>
      <c r="AB283" s="2" t="s">
        <v>374</v>
      </c>
      <c r="AC283">
        <v>0</v>
      </c>
      <c r="AD283">
        <v>0</v>
      </c>
      <c r="AE283">
        <v>0</v>
      </c>
      <c r="AF283">
        <v>180</v>
      </c>
      <c r="AG283">
        <v>0</v>
      </c>
      <c r="AH283">
        <v>0</v>
      </c>
      <c r="AI283">
        <v>0</v>
      </c>
      <c r="AJ283">
        <v>0</v>
      </c>
      <c r="AK283" t="s">
        <v>410</v>
      </c>
      <c r="AL283" t="s">
        <v>409</v>
      </c>
      <c r="AM283">
        <v>0</v>
      </c>
      <c r="AN283">
        <v>0</v>
      </c>
      <c r="AO283">
        <v>5</v>
      </c>
      <c r="AP283">
        <v>1</v>
      </c>
    </row>
    <row r="284" spans="1:65" hidden="1" x14ac:dyDescent="0.25">
      <c r="A284" t="s">
        <v>308</v>
      </c>
      <c r="B284" t="s">
        <v>482</v>
      </c>
      <c r="C284" t="s">
        <v>387</v>
      </c>
      <c r="D284" t="s">
        <v>419</v>
      </c>
      <c r="E284">
        <v>35</v>
      </c>
      <c r="F284">
        <v>35</v>
      </c>
      <c r="G284" t="s">
        <v>396</v>
      </c>
      <c r="H284" t="s">
        <v>400</v>
      </c>
      <c r="I284" t="s">
        <v>418</v>
      </c>
      <c r="J284" t="s">
        <v>392</v>
      </c>
      <c r="K284">
        <v>0</v>
      </c>
      <c r="L284">
        <v>0</v>
      </c>
      <c r="M284">
        <v>500</v>
      </c>
      <c r="N284">
        <v>2</v>
      </c>
      <c r="O284">
        <v>0</v>
      </c>
      <c r="P284">
        <v>0</v>
      </c>
      <c r="Q284">
        <v>10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0.1</v>
      </c>
      <c r="AB284" t="s">
        <v>451</v>
      </c>
      <c r="AC284">
        <v>1</v>
      </c>
      <c r="AD284">
        <v>0</v>
      </c>
      <c r="AE284">
        <v>0</v>
      </c>
      <c r="AF284">
        <v>180</v>
      </c>
      <c r="AG284">
        <v>0</v>
      </c>
      <c r="AH284">
        <v>0</v>
      </c>
      <c r="AI284">
        <v>0</v>
      </c>
      <c r="AJ284">
        <v>0</v>
      </c>
      <c r="AO284">
        <v>5</v>
      </c>
      <c r="AP284">
        <v>1</v>
      </c>
    </row>
    <row r="285" spans="1:65" x14ac:dyDescent="0.25">
      <c r="A285" t="s">
        <v>308</v>
      </c>
      <c r="B285" t="s">
        <v>167</v>
      </c>
      <c r="C285" t="s">
        <v>387</v>
      </c>
      <c r="D285" t="s">
        <v>419</v>
      </c>
      <c r="E285">
        <v>35</v>
      </c>
      <c r="F285">
        <v>35</v>
      </c>
      <c r="G285" t="s">
        <v>396</v>
      </c>
      <c r="H285" t="s">
        <v>400</v>
      </c>
      <c r="I285" t="s">
        <v>418</v>
      </c>
      <c r="J285" t="s">
        <v>392</v>
      </c>
      <c r="K285">
        <v>0</v>
      </c>
      <c r="L285">
        <v>0</v>
      </c>
      <c r="M285">
        <v>500</v>
      </c>
      <c r="N285">
        <v>2</v>
      </c>
      <c r="O285">
        <v>0</v>
      </c>
      <c r="P285">
        <v>0</v>
      </c>
      <c r="Q285">
        <v>10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0.1</v>
      </c>
      <c r="AB285" s="2" t="s">
        <v>374</v>
      </c>
      <c r="AC285">
        <v>1</v>
      </c>
      <c r="AD285">
        <v>0</v>
      </c>
      <c r="AE285">
        <v>0</v>
      </c>
      <c r="AF285">
        <v>180</v>
      </c>
      <c r="AG285">
        <v>0</v>
      </c>
      <c r="AH285">
        <v>0</v>
      </c>
      <c r="AI285">
        <v>0</v>
      </c>
      <c r="AJ285">
        <v>0</v>
      </c>
      <c r="AO285">
        <v>5</v>
      </c>
      <c r="AP285">
        <v>1</v>
      </c>
    </row>
    <row r="286" spans="1:65" hidden="1" x14ac:dyDescent="0.25">
      <c r="A286" t="s">
        <v>309</v>
      </c>
      <c r="B286" t="s">
        <v>482</v>
      </c>
      <c r="C286" t="s">
        <v>387</v>
      </c>
      <c r="D286" t="s">
        <v>388</v>
      </c>
      <c r="E286">
        <v>90</v>
      </c>
      <c r="F286">
        <v>90</v>
      </c>
      <c r="G286" t="s">
        <v>396</v>
      </c>
      <c r="H286" t="s">
        <v>400</v>
      </c>
      <c r="I286" t="s">
        <v>423</v>
      </c>
      <c r="J286" t="s">
        <v>392</v>
      </c>
      <c r="K286">
        <v>0</v>
      </c>
      <c r="L286">
        <v>0</v>
      </c>
      <c r="M286">
        <v>32</v>
      </c>
      <c r="N286">
        <v>2</v>
      </c>
      <c r="O286">
        <v>0</v>
      </c>
      <c r="P286">
        <v>0</v>
      </c>
      <c r="Q286">
        <v>10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0.1</v>
      </c>
      <c r="AB286" t="s">
        <v>451</v>
      </c>
      <c r="AC286">
        <v>1</v>
      </c>
      <c r="AD286">
        <v>0</v>
      </c>
      <c r="AE286">
        <v>0</v>
      </c>
      <c r="AF286">
        <v>180</v>
      </c>
      <c r="AG286">
        <v>0</v>
      </c>
      <c r="AH286">
        <v>0</v>
      </c>
      <c r="AI286">
        <v>0</v>
      </c>
      <c r="AJ286">
        <v>0</v>
      </c>
      <c r="AO286">
        <v>5</v>
      </c>
      <c r="AP286">
        <v>1</v>
      </c>
      <c r="AW286">
        <v>1.9</v>
      </c>
    </row>
    <row r="287" spans="1:65" x14ac:dyDescent="0.25">
      <c r="A287" t="s">
        <v>309</v>
      </c>
      <c r="B287" t="s">
        <v>167</v>
      </c>
      <c r="C287" t="s">
        <v>387</v>
      </c>
      <c r="D287" t="s">
        <v>388</v>
      </c>
      <c r="E287">
        <v>90</v>
      </c>
      <c r="F287">
        <v>90</v>
      </c>
      <c r="G287" t="s">
        <v>396</v>
      </c>
      <c r="H287" t="s">
        <v>400</v>
      </c>
      <c r="I287" t="s">
        <v>423</v>
      </c>
      <c r="J287" t="s">
        <v>392</v>
      </c>
      <c r="K287">
        <v>0</v>
      </c>
      <c r="L287">
        <v>0</v>
      </c>
      <c r="M287">
        <v>32</v>
      </c>
      <c r="N287">
        <v>2</v>
      </c>
      <c r="O287">
        <v>0</v>
      </c>
      <c r="P287">
        <v>0</v>
      </c>
      <c r="Q287">
        <v>10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0.1</v>
      </c>
      <c r="AB287" s="2" t="s">
        <v>374</v>
      </c>
      <c r="AC287">
        <v>1</v>
      </c>
      <c r="AD287">
        <v>0</v>
      </c>
      <c r="AE287">
        <v>0</v>
      </c>
      <c r="AF287">
        <v>180</v>
      </c>
      <c r="AG287">
        <v>0</v>
      </c>
      <c r="AH287">
        <v>0</v>
      </c>
      <c r="AI287">
        <v>0</v>
      </c>
      <c r="AJ287">
        <v>0</v>
      </c>
      <c r="AO287">
        <v>5</v>
      </c>
      <c r="AP287">
        <v>1</v>
      </c>
      <c r="AU287" s="2">
        <v>1.08</v>
      </c>
      <c r="AW287">
        <v>1.9</v>
      </c>
    </row>
    <row r="288" spans="1:65" hidden="1" x14ac:dyDescent="0.25">
      <c r="A288" t="s">
        <v>310</v>
      </c>
      <c r="B288" t="s">
        <v>482</v>
      </c>
      <c r="C288" t="s">
        <v>387</v>
      </c>
      <c r="D288" t="s">
        <v>388</v>
      </c>
      <c r="E288">
        <v>4000</v>
      </c>
      <c r="F288">
        <v>4000</v>
      </c>
      <c r="G288" t="s">
        <v>396</v>
      </c>
      <c r="H288" t="s">
        <v>397</v>
      </c>
      <c r="I288" t="s">
        <v>424</v>
      </c>
      <c r="J288" t="s">
        <v>392</v>
      </c>
      <c r="K288">
        <v>40</v>
      </c>
      <c r="L288">
        <v>2000</v>
      </c>
      <c r="M288">
        <v>0</v>
      </c>
      <c r="N288">
        <v>0</v>
      </c>
      <c r="O288">
        <v>0</v>
      </c>
      <c r="P288">
        <v>0</v>
      </c>
      <c r="Q288">
        <v>1</v>
      </c>
      <c r="R288">
        <v>1</v>
      </c>
      <c r="S288">
        <v>0</v>
      </c>
      <c r="T288">
        <v>10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0.1</v>
      </c>
      <c r="AB288" t="s">
        <v>451</v>
      </c>
      <c r="AC288">
        <v>0</v>
      </c>
      <c r="AD288">
        <v>0</v>
      </c>
      <c r="AE288">
        <v>0</v>
      </c>
      <c r="AO288">
        <v>5</v>
      </c>
      <c r="AP288">
        <v>1</v>
      </c>
      <c r="BA288">
        <v>1</v>
      </c>
    </row>
    <row r="289" spans="1:57" x14ac:dyDescent="0.25">
      <c r="A289" t="s">
        <v>310</v>
      </c>
      <c r="B289" t="s">
        <v>167</v>
      </c>
      <c r="C289" t="s">
        <v>387</v>
      </c>
      <c r="D289" t="s">
        <v>388</v>
      </c>
      <c r="E289">
        <v>4000</v>
      </c>
      <c r="F289">
        <v>4000</v>
      </c>
      <c r="G289" t="s">
        <v>396</v>
      </c>
      <c r="H289" t="s">
        <v>397</v>
      </c>
      <c r="I289" t="s">
        <v>424</v>
      </c>
      <c r="J289" t="s">
        <v>392</v>
      </c>
      <c r="K289">
        <v>40</v>
      </c>
      <c r="L289">
        <v>2000</v>
      </c>
      <c r="M289">
        <v>0</v>
      </c>
      <c r="N289">
        <v>0</v>
      </c>
      <c r="O289">
        <v>0</v>
      </c>
      <c r="P289">
        <v>0</v>
      </c>
      <c r="Q289">
        <v>1</v>
      </c>
      <c r="R289">
        <v>1</v>
      </c>
      <c r="S289">
        <v>0</v>
      </c>
      <c r="T289">
        <v>10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0.1</v>
      </c>
      <c r="AB289" s="2" t="s">
        <v>374</v>
      </c>
      <c r="AC289">
        <v>0</v>
      </c>
      <c r="AD289">
        <v>0</v>
      </c>
      <c r="AE289">
        <v>0</v>
      </c>
      <c r="AO289">
        <v>5</v>
      </c>
      <c r="AP289">
        <v>1</v>
      </c>
      <c r="BA289">
        <v>1</v>
      </c>
    </row>
    <row r="290" spans="1:57" hidden="1" x14ac:dyDescent="0.25">
      <c r="A290" t="s">
        <v>311</v>
      </c>
      <c r="B290" t="s">
        <v>482</v>
      </c>
      <c r="C290" t="s">
        <v>387</v>
      </c>
      <c r="D290" t="s">
        <v>388</v>
      </c>
      <c r="E290">
        <v>40</v>
      </c>
      <c r="F290">
        <v>40</v>
      </c>
      <c r="G290" t="s">
        <v>390</v>
      </c>
      <c r="H290" t="s">
        <v>384</v>
      </c>
      <c r="I290" t="s">
        <v>391</v>
      </c>
      <c r="J290" t="s">
        <v>392</v>
      </c>
      <c r="K290">
        <v>2200</v>
      </c>
      <c r="L290">
        <v>2800</v>
      </c>
      <c r="M290">
        <v>0</v>
      </c>
      <c r="N290">
        <v>0</v>
      </c>
      <c r="O290">
        <v>0</v>
      </c>
      <c r="P290">
        <v>0</v>
      </c>
      <c r="Q290">
        <v>1</v>
      </c>
      <c r="R290">
        <v>1</v>
      </c>
      <c r="S290">
        <v>1</v>
      </c>
      <c r="T290">
        <v>5</v>
      </c>
      <c r="U290">
        <v>0</v>
      </c>
      <c r="V290">
        <v>0</v>
      </c>
      <c r="W290">
        <v>1</v>
      </c>
      <c r="X290">
        <v>0</v>
      </c>
      <c r="Y290">
        <v>60</v>
      </c>
      <c r="Z290">
        <v>60</v>
      </c>
      <c r="AA290">
        <v>0.1</v>
      </c>
      <c r="AB290" t="s">
        <v>451</v>
      </c>
      <c r="AC290">
        <v>1</v>
      </c>
      <c r="AD290">
        <v>0</v>
      </c>
      <c r="AE290">
        <v>0</v>
      </c>
      <c r="AF290">
        <v>0</v>
      </c>
      <c r="AG290">
        <v>-180</v>
      </c>
      <c r="AH290">
        <v>180</v>
      </c>
      <c r="AI290">
        <v>-10</v>
      </c>
      <c r="AJ290">
        <v>10</v>
      </c>
      <c r="AO290">
        <v>5</v>
      </c>
      <c r="AP290">
        <v>1</v>
      </c>
      <c r="AX290">
        <v>0.25</v>
      </c>
      <c r="BA290">
        <v>1</v>
      </c>
      <c r="BB290">
        <v>0.16</v>
      </c>
      <c r="BD290">
        <v>0.2</v>
      </c>
    </row>
    <row r="291" spans="1:57" x14ac:dyDescent="0.25">
      <c r="A291" t="s">
        <v>311</v>
      </c>
      <c r="B291" t="s">
        <v>167</v>
      </c>
      <c r="C291" t="s">
        <v>387</v>
      </c>
      <c r="D291" t="s">
        <v>388</v>
      </c>
      <c r="E291">
        <v>40</v>
      </c>
      <c r="F291">
        <v>40</v>
      </c>
      <c r="G291" t="s">
        <v>390</v>
      </c>
      <c r="H291" t="s">
        <v>384</v>
      </c>
      <c r="I291" t="s">
        <v>391</v>
      </c>
      <c r="J291" t="s">
        <v>392</v>
      </c>
      <c r="K291">
        <v>2200</v>
      </c>
      <c r="L291" s="2">
        <v>2950</v>
      </c>
      <c r="M291">
        <v>0</v>
      </c>
      <c r="N291">
        <v>0</v>
      </c>
      <c r="O291">
        <v>0</v>
      </c>
      <c r="P291">
        <v>0</v>
      </c>
      <c r="Q291">
        <v>1</v>
      </c>
      <c r="R291">
        <v>1</v>
      </c>
      <c r="S291">
        <v>1</v>
      </c>
      <c r="T291">
        <v>5</v>
      </c>
      <c r="U291">
        <v>0</v>
      </c>
      <c r="V291">
        <v>0</v>
      </c>
      <c r="W291">
        <v>1</v>
      </c>
      <c r="X291">
        <v>0</v>
      </c>
      <c r="Y291">
        <v>60</v>
      </c>
      <c r="Z291">
        <v>60</v>
      </c>
      <c r="AA291">
        <v>0.1</v>
      </c>
      <c r="AB291" s="2" t="s">
        <v>374</v>
      </c>
      <c r="AC291">
        <v>1</v>
      </c>
      <c r="AD291">
        <v>0</v>
      </c>
      <c r="AE291">
        <v>0</v>
      </c>
      <c r="AF291" s="2">
        <v>5</v>
      </c>
      <c r="AG291">
        <v>-180</v>
      </c>
      <c r="AH291">
        <v>180</v>
      </c>
      <c r="AI291" s="2">
        <v>-12</v>
      </c>
      <c r="AJ291" s="2">
        <v>12</v>
      </c>
      <c r="AO291">
        <v>5</v>
      </c>
      <c r="AP291">
        <v>1</v>
      </c>
      <c r="AR291" s="2">
        <v>2.25</v>
      </c>
      <c r="AS291" s="2">
        <v>1.03</v>
      </c>
      <c r="AT291" s="2">
        <v>2.0499999999999998</v>
      </c>
      <c r="AX291">
        <v>0.25</v>
      </c>
      <c r="BA291">
        <v>1</v>
      </c>
      <c r="BB291">
        <v>0.16</v>
      </c>
      <c r="BC291" s="2">
        <v>0.35</v>
      </c>
      <c r="BD291">
        <v>0.2</v>
      </c>
      <c r="BE291" s="2">
        <v>0.3</v>
      </c>
    </row>
  </sheetData>
  <autoFilter ref="A1:BM291">
    <filterColumn colId="1">
      <filters>
        <filter val="HWR"/>
      </filters>
    </filterColumn>
  </autoFilter>
  <sortState ref="A2:BM291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Ship-Weapon Mapping</vt:lpstr>
      <vt:lpstr>Public Ships</vt:lpstr>
      <vt:lpstr>Scole Weapons</vt:lpstr>
      <vt:lpstr>Weapons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Moery</dc:creator>
  <cp:lastModifiedBy>Kyle Moery</cp:lastModifiedBy>
  <dcterms:created xsi:type="dcterms:W3CDTF">2006-09-16T00:00:00Z</dcterms:created>
  <dcterms:modified xsi:type="dcterms:W3CDTF">2015-08-27T22:26:12Z</dcterms:modified>
</cp:coreProperties>
</file>